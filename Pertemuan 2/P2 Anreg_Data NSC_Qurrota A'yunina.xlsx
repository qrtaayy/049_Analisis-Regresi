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a Kuliah Semester 4\Analisis Regresi\"/>
    </mc:Choice>
  </mc:AlternateContent>
  <xr:revisionPtr revIDLastSave="0" documentId="8_{47BCEACC-24AF-42A0-8442-8D496415180F}" xr6:coauthVersionLast="47" xr6:coauthVersionMax="47" xr10:uidLastSave="{00000000-0000-0000-0000-000000000000}"/>
  <bookViews>
    <workbookView xWindow="-110" yWindow="-110" windowWidth="19420" windowHeight="10420" activeTab="1" xr2:uid="{D62A94EC-0A85-423F-831E-D13BC1C3FEF1}"/>
  </bookViews>
  <sheets>
    <sheet name="Data" sheetId="1" r:id="rId1"/>
    <sheet name="Ola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6" i="2" l="1"/>
  <c r="J125" i="2"/>
  <c r="L16" i="2"/>
  <c r="M3" i="2"/>
  <c r="M11" i="2"/>
  <c r="M22" i="2"/>
  <c r="M83" i="2"/>
  <c r="M86" i="2"/>
  <c r="M94" i="2"/>
  <c r="M102" i="2"/>
  <c r="M107" i="2"/>
  <c r="M110" i="2"/>
  <c r="M115" i="2"/>
  <c r="M118" i="2"/>
  <c r="L4" i="2"/>
  <c r="L7" i="2"/>
  <c r="L8" i="2"/>
  <c r="L12" i="2"/>
  <c r="L15" i="2"/>
  <c r="L36" i="2"/>
  <c r="L40" i="2"/>
  <c r="L44" i="2"/>
  <c r="L48" i="2"/>
  <c r="L52" i="2"/>
  <c r="L56" i="2"/>
  <c r="L60" i="2"/>
  <c r="L64" i="2"/>
  <c r="L68" i="2"/>
  <c r="L72" i="2"/>
  <c r="L76" i="2"/>
  <c r="L80" i="2"/>
  <c r="L100" i="2"/>
  <c r="L103" i="2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M119" i="2" s="1"/>
  <c r="K120" i="2"/>
  <c r="L120" i="2" s="1"/>
  <c r="K98" i="2"/>
  <c r="L98" i="2" s="1"/>
  <c r="K99" i="2"/>
  <c r="L99" i="2" s="1"/>
  <c r="K100" i="2"/>
  <c r="K101" i="2"/>
  <c r="L101" i="2" s="1"/>
  <c r="K102" i="2"/>
  <c r="L102" i="2" s="1"/>
  <c r="K103" i="2"/>
  <c r="K104" i="2"/>
  <c r="L104" i="2" s="1"/>
  <c r="K105" i="2"/>
  <c r="L105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57" i="2"/>
  <c r="L57" i="2" s="1"/>
  <c r="K58" i="2"/>
  <c r="L58" i="2" s="1"/>
  <c r="K59" i="2"/>
  <c r="L59" i="2" s="1"/>
  <c r="K60" i="2"/>
  <c r="K61" i="2"/>
  <c r="L61" i="2" s="1"/>
  <c r="K62" i="2"/>
  <c r="L62" i="2" s="1"/>
  <c r="K63" i="2"/>
  <c r="L63" i="2" s="1"/>
  <c r="K64" i="2"/>
  <c r="K65" i="2"/>
  <c r="L65" i="2" s="1"/>
  <c r="K66" i="2"/>
  <c r="L66" i="2" s="1"/>
  <c r="K67" i="2"/>
  <c r="L67" i="2" s="1"/>
  <c r="K68" i="2"/>
  <c r="K69" i="2"/>
  <c r="L69" i="2" s="1"/>
  <c r="K70" i="2"/>
  <c r="M70" i="2" s="1"/>
  <c r="K71" i="2"/>
  <c r="L71" i="2" s="1"/>
  <c r="K72" i="2"/>
  <c r="K73" i="2"/>
  <c r="L73" i="2" s="1"/>
  <c r="K74" i="2"/>
  <c r="L74" i="2" s="1"/>
  <c r="K75" i="2"/>
  <c r="L75" i="2" s="1"/>
  <c r="K76" i="2"/>
  <c r="K77" i="2"/>
  <c r="L77" i="2" s="1"/>
  <c r="K78" i="2"/>
  <c r="L78" i="2" s="1"/>
  <c r="K79" i="2"/>
  <c r="L79" i="2" s="1"/>
  <c r="K80" i="2"/>
  <c r="K33" i="2"/>
  <c r="L33" i="2" s="1"/>
  <c r="K34" i="2"/>
  <c r="L34" i="2" s="1"/>
  <c r="K35" i="2"/>
  <c r="L35" i="2" s="1"/>
  <c r="K36" i="2"/>
  <c r="K37" i="2"/>
  <c r="L37" i="2" s="1"/>
  <c r="K38" i="2"/>
  <c r="L38" i="2" s="1"/>
  <c r="K39" i="2"/>
  <c r="L39" i="2" s="1"/>
  <c r="K40" i="2"/>
  <c r="K41" i="2"/>
  <c r="L41" i="2" s="1"/>
  <c r="K42" i="2"/>
  <c r="L42" i="2" s="1"/>
  <c r="K43" i="2"/>
  <c r="L43" i="2" s="1"/>
  <c r="K44" i="2"/>
  <c r="K45" i="2"/>
  <c r="L45" i="2" s="1"/>
  <c r="K46" i="2"/>
  <c r="M46" i="2" s="1"/>
  <c r="K47" i="2"/>
  <c r="L47" i="2" s="1"/>
  <c r="K48" i="2"/>
  <c r="K49" i="2"/>
  <c r="L49" i="2" s="1"/>
  <c r="K50" i="2"/>
  <c r="L50" i="2" s="1"/>
  <c r="K51" i="2"/>
  <c r="L51" i="2" s="1"/>
  <c r="K52" i="2"/>
  <c r="K53" i="2"/>
  <c r="L53" i="2" s="1"/>
  <c r="K54" i="2"/>
  <c r="L54" i="2" s="1"/>
  <c r="K55" i="2"/>
  <c r="L55" i="2" s="1"/>
  <c r="K56" i="2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" i="2"/>
  <c r="L3" i="2" s="1"/>
  <c r="K4" i="2"/>
  <c r="K5" i="2"/>
  <c r="L5" i="2" s="1"/>
  <c r="K6" i="2"/>
  <c r="L6" i="2" s="1"/>
  <c r="K7" i="2"/>
  <c r="K8" i="2"/>
  <c r="K9" i="2"/>
  <c r="L9" i="2" s="1"/>
  <c r="K10" i="2"/>
  <c r="L10" i="2" s="1"/>
  <c r="K11" i="2"/>
  <c r="L11" i="2" s="1"/>
  <c r="K12" i="2"/>
  <c r="K13" i="2"/>
  <c r="L13" i="2" s="1"/>
  <c r="K14" i="2"/>
  <c r="M14" i="2" s="1"/>
  <c r="K15" i="2"/>
  <c r="K16" i="2"/>
  <c r="K17" i="2"/>
  <c r="L17" i="2" s="1"/>
  <c r="K2" i="2"/>
  <c r="K122" i="2" s="1"/>
  <c r="G117" i="2"/>
  <c r="M117" i="2" s="1"/>
  <c r="G118" i="2"/>
  <c r="G119" i="2"/>
  <c r="G120" i="2"/>
  <c r="M120" i="2" s="1"/>
  <c r="G101" i="2"/>
  <c r="M101" i="2" s="1"/>
  <c r="G102" i="2"/>
  <c r="G103" i="2"/>
  <c r="M103" i="2" s="1"/>
  <c r="G104" i="2"/>
  <c r="M104" i="2" s="1"/>
  <c r="G105" i="2"/>
  <c r="M105" i="2" s="1"/>
  <c r="G106" i="2"/>
  <c r="M106" i="2" s="1"/>
  <c r="G107" i="2"/>
  <c r="G108" i="2"/>
  <c r="M108" i="2" s="1"/>
  <c r="G109" i="2"/>
  <c r="M109" i="2" s="1"/>
  <c r="G110" i="2"/>
  <c r="G111" i="2"/>
  <c r="M111" i="2" s="1"/>
  <c r="G112" i="2"/>
  <c r="M112" i="2" s="1"/>
  <c r="G113" i="2"/>
  <c r="M113" i="2" s="1"/>
  <c r="G114" i="2"/>
  <c r="M114" i="2" s="1"/>
  <c r="G115" i="2"/>
  <c r="G116" i="2"/>
  <c r="M116" i="2" s="1"/>
  <c r="G88" i="2"/>
  <c r="M88" i="2" s="1"/>
  <c r="G89" i="2"/>
  <c r="M89" i="2" s="1"/>
  <c r="G90" i="2"/>
  <c r="M90" i="2" s="1"/>
  <c r="G91" i="2"/>
  <c r="M91" i="2" s="1"/>
  <c r="G92" i="2"/>
  <c r="M92" i="2" s="1"/>
  <c r="G93" i="2"/>
  <c r="M93" i="2" s="1"/>
  <c r="G94" i="2"/>
  <c r="G95" i="2"/>
  <c r="M95" i="2" s="1"/>
  <c r="G96" i="2"/>
  <c r="M96" i="2" s="1"/>
  <c r="G97" i="2"/>
  <c r="M97" i="2" s="1"/>
  <c r="G98" i="2"/>
  <c r="M98" i="2" s="1"/>
  <c r="G99" i="2"/>
  <c r="M99" i="2" s="1"/>
  <c r="G100" i="2"/>
  <c r="M100" i="2" s="1"/>
  <c r="G66" i="2"/>
  <c r="M66" i="2" s="1"/>
  <c r="G67" i="2"/>
  <c r="G68" i="2"/>
  <c r="M68" i="2" s="1"/>
  <c r="G69" i="2"/>
  <c r="M69" i="2" s="1"/>
  <c r="G70" i="2"/>
  <c r="G71" i="2"/>
  <c r="M71" i="2" s="1"/>
  <c r="G72" i="2"/>
  <c r="M72" i="2" s="1"/>
  <c r="G73" i="2"/>
  <c r="M73" i="2" s="1"/>
  <c r="G74" i="2"/>
  <c r="M74" i="2" s="1"/>
  <c r="G75" i="2"/>
  <c r="G76" i="2"/>
  <c r="M76" i="2" s="1"/>
  <c r="G77" i="2"/>
  <c r="M77" i="2" s="1"/>
  <c r="G78" i="2"/>
  <c r="G79" i="2"/>
  <c r="M79" i="2" s="1"/>
  <c r="G80" i="2"/>
  <c r="M80" i="2" s="1"/>
  <c r="G81" i="2"/>
  <c r="M81" i="2" s="1"/>
  <c r="G82" i="2"/>
  <c r="M82" i="2" s="1"/>
  <c r="G83" i="2"/>
  <c r="G84" i="2"/>
  <c r="M84" i="2" s="1"/>
  <c r="G85" i="2"/>
  <c r="M85" i="2" s="1"/>
  <c r="G86" i="2"/>
  <c r="G87" i="2"/>
  <c r="M87" i="2" s="1"/>
  <c r="G43" i="2"/>
  <c r="M43" i="2" s="1"/>
  <c r="G44" i="2"/>
  <c r="M44" i="2" s="1"/>
  <c r="G45" i="2"/>
  <c r="M45" i="2" s="1"/>
  <c r="G46" i="2"/>
  <c r="G47" i="2"/>
  <c r="M47" i="2" s="1"/>
  <c r="G48" i="2"/>
  <c r="M48" i="2" s="1"/>
  <c r="G49" i="2"/>
  <c r="M49" i="2" s="1"/>
  <c r="G50" i="2"/>
  <c r="M50" i="2" s="1"/>
  <c r="G51" i="2"/>
  <c r="M51" i="2" s="1"/>
  <c r="G52" i="2"/>
  <c r="M52" i="2" s="1"/>
  <c r="G53" i="2"/>
  <c r="M53" i="2" s="1"/>
  <c r="G54" i="2"/>
  <c r="G55" i="2"/>
  <c r="M55" i="2" s="1"/>
  <c r="G56" i="2"/>
  <c r="M56" i="2" s="1"/>
  <c r="G57" i="2"/>
  <c r="M57" i="2" s="1"/>
  <c r="G58" i="2"/>
  <c r="M58" i="2" s="1"/>
  <c r="G59" i="2"/>
  <c r="M59" i="2" s="1"/>
  <c r="G60" i="2"/>
  <c r="M60" i="2" s="1"/>
  <c r="G61" i="2"/>
  <c r="M61" i="2" s="1"/>
  <c r="G62" i="2"/>
  <c r="G63" i="2"/>
  <c r="M63" i="2" s="1"/>
  <c r="G64" i="2"/>
  <c r="M64" i="2" s="1"/>
  <c r="G65" i="2"/>
  <c r="M65" i="2" s="1"/>
  <c r="G30" i="2"/>
  <c r="M30" i="2" s="1"/>
  <c r="G31" i="2"/>
  <c r="M31" i="2" s="1"/>
  <c r="G32" i="2"/>
  <c r="M32" i="2" s="1"/>
  <c r="G33" i="2"/>
  <c r="M33" i="2" s="1"/>
  <c r="G34" i="2"/>
  <c r="M34" i="2" s="1"/>
  <c r="G35" i="2"/>
  <c r="M35" i="2" s="1"/>
  <c r="G36" i="2"/>
  <c r="M36" i="2" s="1"/>
  <c r="G37" i="2"/>
  <c r="M37" i="2" s="1"/>
  <c r="G38" i="2"/>
  <c r="M38" i="2" s="1"/>
  <c r="G39" i="2"/>
  <c r="M39" i="2" s="1"/>
  <c r="G40" i="2"/>
  <c r="M40" i="2" s="1"/>
  <c r="G41" i="2"/>
  <c r="M41" i="2" s="1"/>
  <c r="G42" i="2"/>
  <c r="M42" i="2" s="1"/>
  <c r="G15" i="2"/>
  <c r="M15" i="2" s="1"/>
  <c r="G16" i="2"/>
  <c r="M16" i="2" s="1"/>
  <c r="G17" i="2"/>
  <c r="M17" i="2" s="1"/>
  <c r="G18" i="2"/>
  <c r="M18" i="2" s="1"/>
  <c r="G19" i="2"/>
  <c r="M19" i="2" s="1"/>
  <c r="G20" i="2"/>
  <c r="M20" i="2" s="1"/>
  <c r="G21" i="2"/>
  <c r="M21" i="2" s="1"/>
  <c r="G22" i="2"/>
  <c r="G23" i="2"/>
  <c r="M23" i="2" s="1"/>
  <c r="G24" i="2"/>
  <c r="M24" i="2" s="1"/>
  <c r="G25" i="2"/>
  <c r="M25" i="2" s="1"/>
  <c r="G26" i="2"/>
  <c r="M26" i="2" s="1"/>
  <c r="G27" i="2"/>
  <c r="M27" i="2" s="1"/>
  <c r="G28" i="2"/>
  <c r="M28" i="2" s="1"/>
  <c r="G29" i="2"/>
  <c r="M29" i="2" s="1"/>
  <c r="G3" i="2"/>
  <c r="G4" i="2"/>
  <c r="M4" i="2" s="1"/>
  <c r="G5" i="2"/>
  <c r="M5" i="2" s="1"/>
  <c r="G6" i="2"/>
  <c r="G7" i="2"/>
  <c r="M7" i="2" s="1"/>
  <c r="G8" i="2"/>
  <c r="M8" i="2" s="1"/>
  <c r="G9" i="2"/>
  <c r="M9" i="2" s="1"/>
  <c r="G10" i="2"/>
  <c r="M10" i="2" s="1"/>
  <c r="G11" i="2"/>
  <c r="G12" i="2"/>
  <c r="M12" i="2" s="1"/>
  <c r="G13" i="2"/>
  <c r="M13" i="2" s="1"/>
  <c r="G14" i="2"/>
  <c r="G2" i="2"/>
  <c r="M2" i="2" s="1"/>
  <c r="C122" i="2"/>
  <c r="B122" i="2"/>
  <c r="M78" i="2" l="1"/>
  <c r="M62" i="2"/>
  <c r="M54" i="2"/>
  <c r="M6" i="2"/>
  <c r="M122" i="2" s="1"/>
  <c r="L70" i="2"/>
  <c r="L46" i="2"/>
  <c r="L14" i="2"/>
  <c r="L119" i="2"/>
  <c r="M75" i="2"/>
  <c r="M67" i="2"/>
  <c r="G122" i="2"/>
  <c r="L2" i="2"/>
  <c r="L122" i="2" s="1"/>
</calcChain>
</file>

<file path=xl/sharedStrings.xml><?xml version="1.0" encoding="utf-8"?>
<sst xmlns="http://schemas.openxmlformats.org/spreadsheetml/2006/main" count="268" uniqueCount="144">
  <si>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</si>
  <si>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</si>
  <si>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</si>
  <si>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</si>
  <si>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</si>
  <si>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</si>
  <si>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</si>
  <si>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</si>
  <si>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</si>
  <si>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Tingkat Partisipasi Angkatan Kerja (TPAK)</t>
  </si>
  <si>
    <t>Tingkat Pengangguran Terbuka (TPT)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</si>
  <si>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</si>
  <si>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</si>
  <si>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</si>
  <si>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</si>
  <si>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</si>
  <si>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</si>
  <si>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</si>
  <si>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</si>
  <si>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</si>
  <si>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</si>
  <si>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</si>
  <si>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</si>
  <si>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</si>
  <si>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</si>
  <si>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</si>
  <si>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</si>
  <si>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</si>
  <si>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</si>
  <si>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</si>
  <si>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</si>
  <si>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</si>
  <si>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</si>
  <si>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</si>
  <si>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</si>
  <si>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</si>
  <si>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</si>
  <si>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</si>
  <si>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</si>
  <si>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</si>
  <si>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</si>
  <si>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</si>
  <si>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</si>
  <si>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</si>
  <si>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</si>
  <si>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</si>
  <si>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</si>
  <si>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</si>
  <si>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</si>
  <si>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</si>
  <si>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</si>
  <si>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</si>
  <si>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</si>
  <si>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</si>
  <si>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</si>
  <si>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</si>
  <si>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</si>
  <si>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</si>
  <si>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</si>
  <si>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</si>
  <si>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</si>
  <si>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</si>
  <si>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</si>
  <si>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</si>
  <si>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</si>
  <si>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</si>
  <si>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</si>
  <si>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</si>
  <si>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</si>
  <si>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</si>
  <si>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</si>
  <si>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</si>
  <si>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</si>
  <si>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</si>
  <si>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</si>
  <si>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</si>
  <si>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</si>
  <si>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</si>
  <si>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</si>
  <si>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</si>
  <si>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</si>
  <si>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</si>
  <si>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</si>
  <si>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</si>
  <si>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</si>
  <si>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</si>
  <si>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</si>
  <si>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</si>
  <si>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</si>
  <si>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</si>
  <si>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</si>
  <si>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</si>
  <si>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</si>
  <si>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</si>
  <si>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</si>
  <si>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</si>
  <si>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</si>
  <si>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</si>
  <si>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</si>
  <si>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</si>
  <si>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</si>
  <si>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</si>
  <si>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</si>
  <si>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</si>
  <si>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</si>
  <si>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</si>
  <si>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</si>
  <si>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</si>
  <si>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</si>
  <si>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</si>
  <si>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</si>
  <si>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</si>
  <si>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</si>
  <si>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</si>
  <si>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</si>
  <si>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</si>
  <si>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</si>
  <si>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</si>
  <si>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</si>
  <si>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</si>
  <si>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</si>
  <si>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</si>
  <si>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</si>
  <si>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</si>
  <si>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</si>
  <si>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</si>
  <si>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</si>
  <si>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</si>
  <si>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</si>
  <si>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</si>
  <si>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Indeks Pembangunan Manusia (Y)</t>
  </si>
  <si>
    <t>Rata-Rata Lama Sekolah (X)</t>
  </si>
  <si>
    <t>Y bar</t>
  </si>
  <si>
    <t>X bar</t>
  </si>
  <si>
    <t>(Yi - Y bar)</t>
  </si>
  <si>
    <t>(Xi - X bar)</t>
  </si>
  <si>
    <t>(Xi - X bar)^2</t>
  </si>
  <si>
    <t>(Yi - Y bar) (Xi - X bar)</t>
  </si>
  <si>
    <t>Sigma (Yi - Y bar)</t>
  </si>
  <si>
    <t>Sigma (Xi - X bar)</t>
  </si>
  <si>
    <t>Sigma (Xi - X bar)^2</t>
  </si>
  <si>
    <t>Sigma (Yi - Y bar) (Xi - X bar)</t>
  </si>
  <si>
    <t>Beta 1 =</t>
  </si>
  <si>
    <t>Beta 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</si>
</sst>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F28E85"/>
      </patternFill>
    </fill>
    <fill>
      <patternFill patternType="solid">
        <fgColor rgb="FF92D050"/>
        <bgColor rgb="FF9FC5E8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11" borderId="4" xfId="0" applyFont="1" applyFill="1" applyBorder="1"/>
    <xf numFmtId="0" fontId="1" fillId="10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284D-B312-40E3-ADAC-6626B8949DFD}">
  <dimension ref="A1:K120"/>
  <sheetViews>
    <sheetView topLeftCell="A16" workbookViewId="0">
      <selection activeCell="B29" sqref="B29"/>
    </sheetView>
  </sheetViews>
  <sheetFormatPr defaultRowHeight="14.5" x14ac:dyDescent="0.35"/>
  <cols>
    <col min="1" max="1" width="29.36328125" customWidth="1"/>
    <col min="2" max="2" width="31.90625" customWidth="1"/>
    <col min="3" max="3" width="24.7265625" customWidth="1"/>
    <col min="4" max="4" width="37.26953125" customWidth="1"/>
    <col min="5" max="5" width="29.08984375" customWidth="1"/>
    <col min="6" max="6" width="32" customWidth="1"/>
    <col min="7" max="7" width="43.36328125" customWidth="1"/>
    <col min="8" max="8" width="53.1796875" customWidth="1"/>
    <col min="9" max="9" width="32.81640625" customWidth="1"/>
    <col min="10" max="10" width="45.453125" customWidth="1"/>
    <col min="11" max="11" width="40.26953125" customWidth="1"/>
    <col min="17" max="17" width="15" customWidth="1"/>
  </cols>
  <sheetData>
    <row r="1" spans="1:11" ht="37.5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2" t="s">
        <v>7</v>
      </c>
      <c r="I1" s="4" t="s">
        <v>8</v>
      </c>
      <c r="J1" s="4" t="s">
        <v>9</v>
      </c>
      <c r="K1" s="2" t="s">
        <v>10</v>
      </c>
    </row>
    <row r="2" spans="1:11" ht="15.5" x14ac:dyDescent="0.35">
      <c r="A2" s="7" t="s">
        <v>11</v>
      </c>
      <c r="B2" s="8">
        <v>76.69</v>
      </c>
      <c r="C2" s="8">
        <v>9.26</v>
      </c>
      <c r="D2" s="8">
        <v>3268.5</v>
      </c>
      <c r="E2" s="8">
        <v>13.03</v>
      </c>
      <c r="F2" s="8">
        <v>89.1</v>
      </c>
      <c r="G2" s="8">
        <v>4.0599999999999996</v>
      </c>
      <c r="H2" s="8">
        <v>0.37</v>
      </c>
      <c r="I2" s="8">
        <v>93.62</v>
      </c>
      <c r="J2" s="8">
        <v>72.58</v>
      </c>
      <c r="K2" s="8">
        <v>7.93</v>
      </c>
    </row>
    <row r="3" spans="1:11" ht="15.5" x14ac:dyDescent="0.35">
      <c r="A3" s="7" t="s">
        <v>12</v>
      </c>
      <c r="B3" s="8">
        <v>87.57</v>
      </c>
      <c r="C3" s="8">
        <v>11.95</v>
      </c>
      <c r="D3" s="8">
        <v>500422.7</v>
      </c>
      <c r="E3" s="8">
        <v>3.03</v>
      </c>
      <c r="F3" s="8">
        <v>92.61</v>
      </c>
      <c r="G3" s="8">
        <v>1.38</v>
      </c>
      <c r="H3" s="8">
        <v>3.74</v>
      </c>
      <c r="I3" s="8">
        <v>97.3</v>
      </c>
      <c r="J3" s="8">
        <v>64.81</v>
      </c>
      <c r="K3" s="8">
        <v>5.22</v>
      </c>
    </row>
    <row r="4" spans="1:11" ht="15.5" x14ac:dyDescent="0.35">
      <c r="A4" s="7" t="s">
        <v>13</v>
      </c>
      <c r="B4" s="8">
        <v>84.76</v>
      </c>
      <c r="C4" s="8">
        <v>11.99</v>
      </c>
      <c r="D4" s="8">
        <v>362068.1</v>
      </c>
      <c r="E4" s="8">
        <v>4.09</v>
      </c>
      <c r="F4" s="8">
        <v>97.15</v>
      </c>
      <c r="G4" s="8">
        <v>26.73</v>
      </c>
      <c r="H4" s="8">
        <v>2.13</v>
      </c>
      <c r="I4" s="8">
        <v>95.9</v>
      </c>
      <c r="J4" s="8">
        <v>64.489999999999995</v>
      </c>
      <c r="K4" s="8">
        <v>6.95</v>
      </c>
    </row>
    <row r="5" spans="1:11" ht="15.5" x14ac:dyDescent="0.35">
      <c r="A5" s="7" t="s">
        <v>14</v>
      </c>
      <c r="B5" s="8">
        <v>83.75</v>
      </c>
      <c r="C5" s="8">
        <v>11.61</v>
      </c>
      <c r="D5" s="8">
        <v>532606.9</v>
      </c>
      <c r="E5" s="8">
        <v>4.63</v>
      </c>
      <c r="F5" s="8">
        <v>90.3</v>
      </c>
      <c r="G5" s="8">
        <v>0.84</v>
      </c>
      <c r="H5" s="8">
        <v>0.01</v>
      </c>
      <c r="I5" s="8">
        <v>96.24</v>
      </c>
      <c r="J5" s="8">
        <v>65.12</v>
      </c>
      <c r="K5" s="8">
        <v>6.24</v>
      </c>
    </row>
    <row r="6" spans="1:11" ht="15.5" x14ac:dyDescent="0.35">
      <c r="A6" s="7" t="s">
        <v>15</v>
      </c>
      <c r="B6" s="8">
        <v>84.4</v>
      </c>
      <c r="C6" s="8">
        <v>11.24</v>
      </c>
      <c r="D6" s="8">
        <v>383113.1</v>
      </c>
      <c r="E6" s="8">
        <v>3.94</v>
      </c>
      <c r="F6" s="8">
        <v>94.94</v>
      </c>
      <c r="G6" s="8">
        <v>5.3</v>
      </c>
      <c r="H6" s="8">
        <v>2.16</v>
      </c>
      <c r="I6" s="8">
        <v>95.66</v>
      </c>
      <c r="J6" s="8">
        <v>64.12</v>
      </c>
      <c r="K6" s="8">
        <v>6.18</v>
      </c>
    </row>
    <row r="7" spans="1:11" ht="15.5" x14ac:dyDescent="0.35">
      <c r="A7" s="7" t="s">
        <v>16</v>
      </c>
      <c r="B7" s="8">
        <v>82.13</v>
      </c>
      <c r="C7" s="8">
        <v>10.85</v>
      </c>
      <c r="D7" s="8">
        <v>380461.1</v>
      </c>
      <c r="E7" s="8">
        <v>6.44</v>
      </c>
      <c r="F7" s="8">
        <v>91.39</v>
      </c>
      <c r="G7" s="8">
        <v>30.31</v>
      </c>
      <c r="H7" s="8">
        <v>0.52</v>
      </c>
      <c r="I7" s="8">
        <v>94.43</v>
      </c>
      <c r="J7" s="8">
        <v>67.77</v>
      </c>
      <c r="K7" s="8">
        <v>6.18</v>
      </c>
    </row>
    <row r="8" spans="1:11" ht="15.5" x14ac:dyDescent="0.35">
      <c r="A8" s="7" t="s">
        <v>17</v>
      </c>
      <c r="B8" s="8">
        <v>73.63</v>
      </c>
      <c r="C8" s="8">
        <v>8.89</v>
      </c>
      <c r="D8" s="8">
        <v>185882.34</v>
      </c>
      <c r="E8" s="8">
        <v>7.05</v>
      </c>
      <c r="F8" s="8">
        <v>67.180000000000007</v>
      </c>
      <c r="G8" s="8">
        <v>51.65</v>
      </c>
      <c r="H8" s="8">
        <v>3.94</v>
      </c>
      <c r="I8" s="8">
        <v>90.98</v>
      </c>
      <c r="J8" s="8">
        <v>66.3</v>
      </c>
      <c r="K8" s="8">
        <v>7.34</v>
      </c>
    </row>
    <row r="9" spans="1:11" ht="15.5" x14ac:dyDescent="0.35">
      <c r="A9" s="7" t="s">
        <v>18</v>
      </c>
      <c r="B9" s="8">
        <v>70.180000000000007</v>
      </c>
      <c r="C9" s="8">
        <v>7.75</v>
      </c>
      <c r="D9" s="8">
        <v>55723.92</v>
      </c>
      <c r="E9" s="8">
        <v>6.87</v>
      </c>
      <c r="F9" s="8">
        <v>51.9</v>
      </c>
      <c r="G9" s="8">
        <v>17.13</v>
      </c>
      <c r="H9" s="8">
        <v>7.72</v>
      </c>
      <c r="I9" s="8">
        <v>89.38</v>
      </c>
      <c r="J9" s="8">
        <v>69.75</v>
      </c>
      <c r="K9" s="8">
        <v>7.11</v>
      </c>
    </row>
    <row r="10" spans="1:11" ht="15.5" x14ac:dyDescent="0.35">
      <c r="A10" s="7" t="s">
        <v>19</v>
      </c>
      <c r="B10" s="8">
        <v>68.89</v>
      </c>
      <c r="C10" s="8">
        <v>7.91</v>
      </c>
      <c r="D10" s="8">
        <v>38208.18</v>
      </c>
      <c r="E10" s="8">
        <v>10.14</v>
      </c>
      <c r="F10" s="8">
        <v>63.3</v>
      </c>
      <c r="G10" s="8">
        <v>7.29</v>
      </c>
      <c r="H10" s="8">
        <v>5.48</v>
      </c>
      <c r="I10" s="8">
        <v>86.22</v>
      </c>
      <c r="J10" s="8">
        <v>72.63</v>
      </c>
      <c r="K10" s="8">
        <v>5.99</v>
      </c>
    </row>
    <row r="11" spans="1:11" ht="15.5" x14ac:dyDescent="0.35">
      <c r="A11" s="7" t="s">
        <v>20</v>
      </c>
      <c r="B11" s="8">
        <v>74.59</v>
      </c>
      <c r="C11" s="8">
        <v>9.4499999999999993</v>
      </c>
      <c r="D11" s="8">
        <v>97509.91</v>
      </c>
      <c r="E11" s="8">
        <v>6.19</v>
      </c>
      <c r="F11" s="8">
        <v>69.12</v>
      </c>
      <c r="G11" s="8">
        <v>52.91</v>
      </c>
      <c r="H11" s="8">
        <v>6.21</v>
      </c>
      <c r="I11" s="8">
        <v>95.1</v>
      </c>
      <c r="J11" s="8">
        <v>67.22</v>
      </c>
      <c r="K11" s="8">
        <v>6.36</v>
      </c>
    </row>
    <row r="12" spans="1:11" ht="15.5" x14ac:dyDescent="0.35">
      <c r="A12" s="7" t="s">
        <v>21</v>
      </c>
      <c r="B12" s="8">
        <v>69.91</v>
      </c>
      <c r="C12" s="8">
        <v>8.31</v>
      </c>
      <c r="D12" s="8">
        <v>46270.92</v>
      </c>
      <c r="E12" s="8">
        <v>9.68</v>
      </c>
      <c r="F12" s="8">
        <v>49.99</v>
      </c>
      <c r="G12" s="8">
        <v>9.44</v>
      </c>
      <c r="H12" s="8">
        <v>9.4499999999999993</v>
      </c>
      <c r="I12" s="8">
        <v>84.24</v>
      </c>
      <c r="J12" s="8">
        <v>71.34</v>
      </c>
      <c r="K12" s="8">
        <v>6.96</v>
      </c>
    </row>
    <row r="13" spans="1:11" ht="15.5" x14ac:dyDescent="0.35">
      <c r="A13" s="7" t="s">
        <v>22</v>
      </c>
      <c r="B13" s="8">
        <v>69.98</v>
      </c>
      <c r="C13" s="8">
        <v>8.32</v>
      </c>
      <c r="D13" s="8">
        <v>28879.68</v>
      </c>
      <c r="E13" s="8">
        <v>10.23</v>
      </c>
      <c r="F13" s="8">
        <v>54.68</v>
      </c>
      <c r="G13" s="8">
        <v>8.33</v>
      </c>
      <c r="H13" s="8">
        <v>9.57</v>
      </c>
      <c r="I13" s="8">
        <v>87.64</v>
      </c>
      <c r="J13" s="8">
        <v>68.760000000000005</v>
      </c>
      <c r="K13" s="8">
        <v>3.74</v>
      </c>
    </row>
    <row r="14" spans="1:11" ht="15.5" x14ac:dyDescent="0.35">
      <c r="A14" s="7" t="s">
        <v>23</v>
      </c>
      <c r="B14" s="8">
        <v>73.64</v>
      </c>
      <c r="C14" s="8">
        <v>8.33</v>
      </c>
      <c r="D14" s="8">
        <v>26360.94</v>
      </c>
      <c r="E14" s="8">
        <v>7.39</v>
      </c>
      <c r="F14" s="8">
        <v>77.12</v>
      </c>
      <c r="G14" s="8">
        <v>7.29</v>
      </c>
      <c r="H14" s="8">
        <v>3.27</v>
      </c>
      <c r="I14" s="8">
        <v>88.29</v>
      </c>
      <c r="J14" s="8">
        <v>68.14</v>
      </c>
      <c r="K14" s="8">
        <v>3.37</v>
      </c>
    </row>
    <row r="15" spans="1:11" ht="15.5" x14ac:dyDescent="0.35">
      <c r="A15" s="7" t="s">
        <v>24</v>
      </c>
      <c r="B15" s="8">
        <v>71.56</v>
      </c>
      <c r="C15" s="8">
        <v>8.18</v>
      </c>
      <c r="D15" s="8">
        <v>20507.27</v>
      </c>
      <c r="E15" s="8">
        <v>11.88</v>
      </c>
      <c r="F15" s="8">
        <v>84.64</v>
      </c>
      <c r="G15" s="8">
        <v>2.27</v>
      </c>
      <c r="H15" s="8">
        <v>5.83</v>
      </c>
      <c r="I15" s="8">
        <v>88</v>
      </c>
      <c r="J15" s="8">
        <v>65.84</v>
      </c>
      <c r="K15" s="8">
        <v>7.78</v>
      </c>
    </row>
    <row r="16" spans="1:11" ht="15.5" x14ac:dyDescent="0.35">
      <c r="A16" s="7" t="s">
        <v>25</v>
      </c>
      <c r="B16" s="8">
        <v>72.3</v>
      </c>
      <c r="C16" s="8">
        <v>8.06</v>
      </c>
      <c r="D16" s="8">
        <v>39418.269999999997</v>
      </c>
      <c r="E16" s="8">
        <v>11</v>
      </c>
      <c r="F16" s="8">
        <v>87.92</v>
      </c>
      <c r="G16" s="8">
        <v>20.49</v>
      </c>
      <c r="H16" s="8">
        <v>5.87</v>
      </c>
      <c r="I16" s="8">
        <v>85.43</v>
      </c>
      <c r="J16" s="8">
        <v>69.27</v>
      </c>
      <c r="K16" s="8">
        <v>6.74</v>
      </c>
    </row>
    <row r="17" spans="1:11" ht="15.5" x14ac:dyDescent="0.35">
      <c r="A17" s="7" t="s">
        <v>26</v>
      </c>
      <c r="B17" s="8">
        <v>71.37</v>
      </c>
      <c r="C17" s="8">
        <v>7.99</v>
      </c>
      <c r="D17" s="8">
        <v>27438.93</v>
      </c>
      <c r="E17" s="8">
        <v>10.82</v>
      </c>
      <c r="F17" s="8">
        <v>83.61</v>
      </c>
      <c r="G17" s="8">
        <v>25.94</v>
      </c>
      <c r="H17" s="8">
        <v>9.02</v>
      </c>
      <c r="I17" s="8">
        <v>87.98</v>
      </c>
      <c r="J17" s="8">
        <v>69.64</v>
      </c>
      <c r="K17" s="8">
        <v>4.01</v>
      </c>
    </row>
    <row r="18" spans="1:11" ht="15.5" x14ac:dyDescent="0.35">
      <c r="A18" s="7" t="s">
        <v>27</v>
      </c>
      <c r="B18" s="8">
        <v>74.569999999999993</v>
      </c>
      <c r="C18" s="8">
        <v>8.86</v>
      </c>
      <c r="D18" s="8">
        <v>27965.759999999998</v>
      </c>
      <c r="E18" s="8">
        <v>9.1</v>
      </c>
      <c r="F18" s="8">
        <v>77.319999999999993</v>
      </c>
      <c r="G18" s="8">
        <v>19.32</v>
      </c>
      <c r="H18" s="8">
        <v>-1.1299999999999999</v>
      </c>
      <c r="I18" s="8">
        <v>96.22</v>
      </c>
      <c r="J18" s="8">
        <v>69.239999999999995</v>
      </c>
      <c r="K18" s="8">
        <v>6.16</v>
      </c>
    </row>
    <row r="19" spans="1:11" ht="15.5" x14ac:dyDescent="0.35">
      <c r="A19" s="7" t="s">
        <v>28</v>
      </c>
      <c r="B19" s="8">
        <v>70.72</v>
      </c>
      <c r="C19" s="8">
        <v>7.45</v>
      </c>
      <c r="D19" s="8">
        <v>68701.960000000006</v>
      </c>
      <c r="E19" s="8">
        <v>11.93</v>
      </c>
      <c r="F19" s="8">
        <v>97.27</v>
      </c>
      <c r="G19" s="8">
        <v>43.89</v>
      </c>
      <c r="H19" s="8">
        <v>0</v>
      </c>
      <c r="I19" s="8">
        <v>89.78</v>
      </c>
      <c r="J19" s="8">
        <v>66.430000000000007</v>
      </c>
      <c r="K19" s="8">
        <v>6.25</v>
      </c>
    </row>
    <row r="20" spans="1:11" ht="15.5" x14ac:dyDescent="0.35">
      <c r="A20" s="7" t="s">
        <v>29</v>
      </c>
      <c r="B20" s="8">
        <v>72.05</v>
      </c>
      <c r="C20" s="8">
        <v>7.88</v>
      </c>
      <c r="D20" s="8">
        <v>33126.46</v>
      </c>
      <c r="E20" s="8">
        <v>9.49</v>
      </c>
      <c r="F20" s="8">
        <v>90.29</v>
      </c>
      <c r="G20" s="8">
        <v>12.76</v>
      </c>
      <c r="H20" s="8">
        <v>4.8600000000000003</v>
      </c>
      <c r="I20" s="8">
        <v>92.11</v>
      </c>
      <c r="J20" s="8">
        <v>71.709999999999994</v>
      </c>
      <c r="K20" s="8">
        <v>6.73</v>
      </c>
    </row>
    <row r="21" spans="1:11" ht="15.5" x14ac:dyDescent="0.35">
      <c r="A21" s="7" t="s">
        <v>30</v>
      </c>
      <c r="B21" s="8">
        <v>73.989999999999995</v>
      </c>
      <c r="C21" s="8">
        <v>8.4</v>
      </c>
      <c r="D21" s="8">
        <v>54142.29</v>
      </c>
      <c r="E21" s="8">
        <v>8.41</v>
      </c>
      <c r="F21" s="8">
        <v>83.01</v>
      </c>
      <c r="G21" s="8">
        <v>57.6</v>
      </c>
      <c r="H21" s="8">
        <v>3.46</v>
      </c>
      <c r="I21" s="8">
        <v>87.96</v>
      </c>
      <c r="J21" s="8">
        <v>66.62</v>
      </c>
      <c r="K21" s="8">
        <v>7.34</v>
      </c>
    </row>
    <row r="22" spans="1:11" ht="15.5" x14ac:dyDescent="0.35">
      <c r="A22" s="7" t="s">
        <v>31</v>
      </c>
      <c r="B22" s="8">
        <v>73.819999999999993</v>
      </c>
      <c r="C22" s="8">
        <v>8.5399999999999991</v>
      </c>
      <c r="D22" s="8">
        <v>194903.1</v>
      </c>
      <c r="E22" s="8">
        <v>7.86</v>
      </c>
      <c r="F22" s="8">
        <v>85.99</v>
      </c>
      <c r="G22" s="8">
        <v>69.91</v>
      </c>
      <c r="H22" s="8">
        <v>2.91</v>
      </c>
      <c r="I22" s="8">
        <v>91.98</v>
      </c>
      <c r="J22" s="8">
        <v>63.67</v>
      </c>
      <c r="K22" s="8">
        <v>8.0399999999999991</v>
      </c>
    </row>
    <row r="23" spans="1:11" ht="15.5" x14ac:dyDescent="0.35">
      <c r="A23" s="7" t="s">
        <v>32</v>
      </c>
      <c r="B23" s="8">
        <v>76.8</v>
      </c>
      <c r="C23" s="8">
        <v>10.19</v>
      </c>
      <c r="D23" s="8">
        <v>293664.78999999998</v>
      </c>
      <c r="E23" s="8">
        <v>4.8</v>
      </c>
      <c r="F23" s="8">
        <v>89.16</v>
      </c>
      <c r="G23" s="8">
        <v>76.959999999999994</v>
      </c>
      <c r="H23" s="8">
        <v>4.93</v>
      </c>
      <c r="I23" s="8">
        <v>90.18</v>
      </c>
      <c r="J23" s="8">
        <v>65.11</v>
      </c>
      <c r="K23" s="8">
        <v>8.82</v>
      </c>
    </row>
    <row r="24" spans="1:11" ht="15.5" x14ac:dyDescent="0.35">
      <c r="A24" s="7" t="s">
        <v>33</v>
      </c>
      <c r="B24" s="8">
        <v>70.77</v>
      </c>
      <c r="C24" s="8">
        <v>8.57</v>
      </c>
      <c r="D24" s="8">
        <v>36793.68</v>
      </c>
      <c r="E24" s="8">
        <v>10.49</v>
      </c>
      <c r="F24" s="8">
        <v>54.02</v>
      </c>
      <c r="G24" s="8">
        <v>40.85</v>
      </c>
      <c r="H24" s="8">
        <v>3.14</v>
      </c>
      <c r="I24" s="8">
        <v>81.59</v>
      </c>
      <c r="J24" s="8">
        <v>68.3</v>
      </c>
      <c r="K24" s="8">
        <v>6.7</v>
      </c>
    </row>
    <row r="25" spans="1:11" ht="15.5" x14ac:dyDescent="0.35">
      <c r="A25" s="7" t="s">
        <v>34</v>
      </c>
      <c r="B25" s="8">
        <v>71.03</v>
      </c>
      <c r="C25" s="8">
        <v>8.4700000000000006</v>
      </c>
      <c r="D25" s="8">
        <v>9324.31</v>
      </c>
      <c r="E25" s="8">
        <v>8.75</v>
      </c>
      <c r="F25" s="8">
        <v>90.3</v>
      </c>
      <c r="G25" s="8">
        <v>4.87</v>
      </c>
      <c r="H25" s="8">
        <v>2.5299999999999998</v>
      </c>
      <c r="I25" s="8">
        <v>91.22</v>
      </c>
      <c r="J25" s="8">
        <v>80.12</v>
      </c>
      <c r="K25" s="8">
        <v>1.58</v>
      </c>
    </row>
    <row r="26" spans="1:11" ht="15.5" x14ac:dyDescent="0.35">
      <c r="A26" s="7" t="s">
        <v>35</v>
      </c>
      <c r="B26" s="8">
        <v>79.03</v>
      </c>
      <c r="C26" s="8">
        <v>10.79</v>
      </c>
      <c r="D26" s="8">
        <v>38964.67</v>
      </c>
      <c r="E26" s="8">
        <v>6.53</v>
      </c>
      <c r="F26" s="8">
        <v>71.489999999999995</v>
      </c>
      <c r="G26" s="8">
        <v>18.39</v>
      </c>
      <c r="H26" s="8">
        <v>2.4500000000000002</v>
      </c>
      <c r="I26" s="8">
        <v>92.34</v>
      </c>
      <c r="J26" s="8">
        <v>67.349999999999994</v>
      </c>
      <c r="K26" s="8">
        <v>8.1300000000000008</v>
      </c>
    </row>
    <row r="27" spans="1:11" ht="15.5" x14ac:dyDescent="0.35">
      <c r="A27" s="7" t="s">
        <v>36</v>
      </c>
      <c r="B27" s="8">
        <v>77.69</v>
      </c>
      <c r="C27" s="8">
        <v>10.44</v>
      </c>
      <c r="D27" s="8">
        <v>10303.16</v>
      </c>
      <c r="E27" s="8">
        <v>7.2</v>
      </c>
      <c r="F27" s="8">
        <v>45.88</v>
      </c>
      <c r="G27" s="8">
        <v>4.87</v>
      </c>
      <c r="H27" s="8">
        <v>5.97</v>
      </c>
      <c r="I27" s="8">
        <v>93.24</v>
      </c>
      <c r="J27" s="8">
        <v>62.58</v>
      </c>
      <c r="K27" s="8">
        <v>8.34</v>
      </c>
    </row>
    <row r="28" spans="1:11" ht="15.5" x14ac:dyDescent="0.35">
      <c r="A28" s="7" t="s">
        <v>37</v>
      </c>
      <c r="B28" s="8">
        <v>83.75</v>
      </c>
      <c r="C28" s="8">
        <v>11.05</v>
      </c>
      <c r="D28" s="8">
        <v>233053.79</v>
      </c>
      <c r="E28" s="8">
        <v>3.87</v>
      </c>
      <c r="F28" s="8">
        <v>55.9</v>
      </c>
      <c r="G28" s="8">
        <v>18.29</v>
      </c>
      <c r="H28" s="8">
        <v>0.77</v>
      </c>
      <c r="I28" s="8">
        <v>95.38</v>
      </c>
      <c r="J28" s="8">
        <v>67.930000000000007</v>
      </c>
      <c r="K28" s="8">
        <v>7.4</v>
      </c>
    </row>
    <row r="29" spans="1:11" ht="15.5" x14ac:dyDescent="0.35">
      <c r="A29" s="7" t="s">
        <v>38</v>
      </c>
      <c r="B29" s="8">
        <v>78.09</v>
      </c>
      <c r="C29" s="8">
        <v>10.66</v>
      </c>
      <c r="D29" s="8">
        <v>19884.060000000001</v>
      </c>
      <c r="E29" s="8">
        <v>9.02</v>
      </c>
      <c r="F29" s="8">
        <v>95.38</v>
      </c>
      <c r="G29" s="8">
        <v>10.09</v>
      </c>
      <c r="H29" s="8">
        <v>1.27</v>
      </c>
      <c r="I29" s="8">
        <v>96.59</v>
      </c>
      <c r="J29" s="8">
        <v>68.55</v>
      </c>
      <c r="K29" s="8">
        <v>6.29</v>
      </c>
    </row>
    <row r="30" spans="1:11" ht="15.5" x14ac:dyDescent="0.35">
      <c r="A30" s="7" t="s">
        <v>39</v>
      </c>
      <c r="B30" s="8">
        <v>83.55</v>
      </c>
      <c r="C30" s="8">
        <v>11.9</v>
      </c>
      <c r="D30" s="8">
        <v>81251.61</v>
      </c>
      <c r="E30" s="8">
        <v>4.01</v>
      </c>
      <c r="F30" s="8">
        <v>99.08</v>
      </c>
      <c r="G30" s="8">
        <v>33.049999999999997</v>
      </c>
      <c r="H30" s="8">
        <v>2.96</v>
      </c>
      <c r="I30" s="8">
        <v>94.28</v>
      </c>
      <c r="J30" s="8">
        <v>65.58</v>
      </c>
      <c r="K30" s="8">
        <v>7.82</v>
      </c>
    </row>
    <row r="31" spans="1:11" ht="15.5" x14ac:dyDescent="0.35">
      <c r="A31" s="7" t="s">
        <v>40</v>
      </c>
      <c r="B31" s="8">
        <v>83.05</v>
      </c>
      <c r="C31" s="8">
        <v>11.58</v>
      </c>
      <c r="D31" s="8">
        <v>58241.86</v>
      </c>
      <c r="E31" s="8">
        <v>2.34</v>
      </c>
      <c r="F31" s="8">
        <v>98.76</v>
      </c>
      <c r="G31" s="8">
        <v>29.16</v>
      </c>
      <c r="H31" s="8">
        <v>5</v>
      </c>
      <c r="I31" s="8">
        <v>94.26</v>
      </c>
      <c r="J31" s="8">
        <v>62.89</v>
      </c>
      <c r="K31" s="8">
        <v>6.27</v>
      </c>
    </row>
    <row r="32" spans="1:11" ht="15.5" x14ac:dyDescent="0.35">
      <c r="A32" s="7" t="s">
        <v>41</v>
      </c>
      <c r="B32" s="8">
        <v>80.3</v>
      </c>
      <c r="C32" s="8">
        <v>11.47</v>
      </c>
      <c r="D32" s="8">
        <v>27296.93</v>
      </c>
      <c r="E32" s="8">
        <v>4.3899999999999997</v>
      </c>
      <c r="F32" s="8">
        <v>76.44</v>
      </c>
      <c r="G32" s="8">
        <v>44.83</v>
      </c>
      <c r="H32" s="8">
        <v>2.81</v>
      </c>
      <c r="I32" s="8">
        <v>92.78</v>
      </c>
      <c r="J32" s="8">
        <v>66.52</v>
      </c>
      <c r="K32" s="8">
        <v>8.9700000000000006</v>
      </c>
    </row>
    <row r="33" spans="1:11" ht="15.5" x14ac:dyDescent="0.35">
      <c r="A33" s="7" t="s">
        <v>42</v>
      </c>
      <c r="B33" s="8">
        <v>76.03</v>
      </c>
      <c r="C33" s="8">
        <v>9.86</v>
      </c>
      <c r="D33" s="8">
        <v>18709.87</v>
      </c>
      <c r="E33" s="8">
        <v>11.1</v>
      </c>
      <c r="F33" s="8">
        <v>53.16</v>
      </c>
      <c r="G33" s="8">
        <v>13.41</v>
      </c>
      <c r="H33" s="8">
        <v>5.46</v>
      </c>
      <c r="I33" s="8">
        <v>92.98</v>
      </c>
      <c r="J33" s="8">
        <v>68.92</v>
      </c>
      <c r="K33" s="8">
        <v>6.49</v>
      </c>
    </row>
    <row r="34" spans="1:11" ht="15.5" x14ac:dyDescent="0.35">
      <c r="A34" s="7" t="s">
        <v>43</v>
      </c>
      <c r="B34" s="8">
        <v>75.010000000000005</v>
      </c>
      <c r="C34" s="8">
        <v>9.15</v>
      </c>
      <c r="D34" s="8">
        <v>3883.98</v>
      </c>
      <c r="E34" s="8">
        <v>5.85</v>
      </c>
      <c r="F34" s="8">
        <v>91.07</v>
      </c>
      <c r="G34" s="8">
        <v>10.29</v>
      </c>
      <c r="H34" s="8">
        <v>3.91</v>
      </c>
      <c r="I34" s="8">
        <v>88.93</v>
      </c>
      <c r="J34" s="8">
        <v>67.22</v>
      </c>
      <c r="K34" s="8">
        <v>5.44</v>
      </c>
    </row>
    <row r="35" spans="1:11" ht="15.5" x14ac:dyDescent="0.35">
      <c r="A35" s="7" t="s">
        <v>44</v>
      </c>
      <c r="B35" s="8">
        <v>72.55</v>
      </c>
      <c r="C35" s="8">
        <v>7.4</v>
      </c>
      <c r="D35" s="8">
        <v>104540.67</v>
      </c>
      <c r="E35" s="8">
        <v>10.68</v>
      </c>
      <c r="F35" s="8">
        <v>83.25</v>
      </c>
      <c r="G35" s="8">
        <v>55.46</v>
      </c>
      <c r="H35" s="8">
        <v>1.06</v>
      </c>
      <c r="I35" s="8">
        <v>87.82</v>
      </c>
      <c r="J35" s="8">
        <v>67.95</v>
      </c>
      <c r="K35" s="8">
        <v>7.83</v>
      </c>
    </row>
    <row r="36" spans="1:11" ht="15.5" x14ac:dyDescent="0.35">
      <c r="A36" s="7" t="s">
        <v>45</v>
      </c>
      <c r="B36" s="8">
        <v>74.52</v>
      </c>
      <c r="C36" s="8">
        <v>7.91</v>
      </c>
      <c r="D36" s="8">
        <v>47795.71</v>
      </c>
      <c r="E36" s="8">
        <v>11.95</v>
      </c>
      <c r="F36" s="8">
        <v>83.25</v>
      </c>
      <c r="G36" s="8">
        <v>26.4</v>
      </c>
      <c r="H36" s="8">
        <v>5.05</v>
      </c>
      <c r="I36" s="8">
        <v>89.64</v>
      </c>
      <c r="J36" s="8">
        <v>68.03</v>
      </c>
      <c r="K36" s="8">
        <v>6.18</v>
      </c>
    </row>
    <row r="37" spans="1:11" ht="15.5" x14ac:dyDescent="0.35">
      <c r="A37" s="7" t="s">
        <v>46</v>
      </c>
      <c r="B37" s="8">
        <v>70.97</v>
      </c>
      <c r="C37" s="8">
        <v>7.36</v>
      </c>
      <c r="D37" s="8">
        <v>20422.61</v>
      </c>
      <c r="E37" s="8">
        <v>14.18</v>
      </c>
      <c r="F37" s="8">
        <v>82.01</v>
      </c>
      <c r="G37" s="8">
        <v>28.27</v>
      </c>
      <c r="H37" s="8">
        <v>4.25</v>
      </c>
      <c r="I37" s="8">
        <v>93.92</v>
      </c>
      <c r="J37" s="8">
        <v>74.47</v>
      </c>
      <c r="K37" s="8">
        <v>4.96</v>
      </c>
    </row>
    <row r="38" spans="1:11" ht="15.5" x14ac:dyDescent="0.35">
      <c r="A38" s="7" t="s">
        <v>47</v>
      </c>
      <c r="B38" s="8">
        <v>69.62</v>
      </c>
      <c r="C38" s="8">
        <v>6.87</v>
      </c>
      <c r="D38" s="8">
        <v>18051.84</v>
      </c>
      <c r="E38" s="8">
        <v>14.71</v>
      </c>
      <c r="F38" s="8">
        <v>52.4</v>
      </c>
      <c r="G38" s="8">
        <v>16.57</v>
      </c>
      <c r="H38" s="8">
        <v>4.37</v>
      </c>
      <c r="I38" s="8">
        <v>95.11</v>
      </c>
      <c r="J38" s="8">
        <v>73.38</v>
      </c>
      <c r="K38" s="8">
        <v>5.57</v>
      </c>
    </row>
    <row r="39" spans="1:11" ht="15.5" x14ac:dyDescent="0.35">
      <c r="A39" s="7" t="s">
        <v>48</v>
      </c>
      <c r="B39" s="8">
        <v>72.48</v>
      </c>
      <c r="C39" s="8">
        <v>7.87</v>
      </c>
      <c r="D39" s="8">
        <v>23837.83</v>
      </c>
      <c r="E39" s="8">
        <v>15.71</v>
      </c>
      <c r="F39" s="8">
        <v>93.43</v>
      </c>
      <c r="G39" s="8">
        <v>22.69</v>
      </c>
      <c r="H39" s="8">
        <v>6</v>
      </c>
      <c r="I39" s="8">
        <v>93.39</v>
      </c>
      <c r="J39" s="8">
        <v>77.37</v>
      </c>
      <c r="K39" s="8">
        <v>5.07</v>
      </c>
    </row>
    <row r="40" spans="1:11" ht="15.5" x14ac:dyDescent="0.35">
      <c r="A40" s="7" t="s">
        <v>49</v>
      </c>
      <c r="B40" s="8">
        <v>75.16</v>
      </c>
      <c r="C40" s="8">
        <v>8.65</v>
      </c>
      <c r="D40" s="8">
        <v>15745.98</v>
      </c>
      <c r="E40" s="8">
        <v>10.87</v>
      </c>
      <c r="F40" s="8">
        <v>84.64</v>
      </c>
      <c r="G40" s="8">
        <v>20.059999999999999</v>
      </c>
      <c r="H40" s="8">
        <v>4.8600000000000003</v>
      </c>
      <c r="I40" s="8">
        <v>95.24</v>
      </c>
      <c r="J40" s="8">
        <v>73.72</v>
      </c>
      <c r="K40" s="8">
        <v>3.89</v>
      </c>
    </row>
    <row r="41" spans="1:11" ht="15.5" x14ac:dyDescent="0.35">
      <c r="A41" s="7" t="s">
        <v>50</v>
      </c>
      <c r="B41" s="8">
        <v>70.63</v>
      </c>
      <c r="C41" s="8">
        <v>6.9</v>
      </c>
      <c r="D41" s="8">
        <v>16109.38</v>
      </c>
      <c r="E41" s="8">
        <v>15.28</v>
      </c>
      <c r="F41" s="8">
        <v>63.81</v>
      </c>
      <c r="G41" s="8">
        <v>17.72</v>
      </c>
      <c r="H41" s="8">
        <v>1.42</v>
      </c>
      <c r="I41" s="8">
        <v>92.94</v>
      </c>
      <c r="J41" s="8">
        <v>74.97</v>
      </c>
      <c r="K41" s="8">
        <v>4.0199999999999996</v>
      </c>
    </row>
    <row r="42" spans="1:11" ht="15.5" x14ac:dyDescent="0.35">
      <c r="A42" s="7" t="s">
        <v>51</v>
      </c>
      <c r="B42" s="8">
        <v>72.099999999999994</v>
      </c>
      <c r="C42" s="8">
        <v>7.83</v>
      </c>
      <c r="D42" s="8">
        <v>27538.21</v>
      </c>
      <c r="E42" s="8">
        <v>10.83</v>
      </c>
      <c r="F42" s="8">
        <v>83.77</v>
      </c>
      <c r="G42" s="8">
        <v>24.46</v>
      </c>
      <c r="H42" s="8">
        <v>6.54</v>
      </c>
      <c r="I42" s="8">
        <v>92.93</v>
      </c>
      <c r="J42" s="8">
        <v>77.72</v>
      </c>
      <c r="K42" s="8">
        <v>3.55</v>
      </c>
    </row>
    <row r="43" spans="1:11" ht="15.5" x14ac:dyDescent="0.35">
      <c r="A43" s="7" t="s">
        <v>52</v>
      </c>
      <c r="B43" s="8">
        <v>75.959999999999994</v>
      </c>
      <c r="C43" s="8">
        <v>8.17</v>
      </c>
      <c r="D43" s="8">
        <v>27556.18</v>
      </c>
      <c r="E43" s="8">
        <v>9.6300000000000008</v>
      </c>
      <c r="F43" s="8">
        <v>88.26</v>
      </c>
      <c r="G43" s="8">
        <v>31.48</v>
      </c>
      <c r="H43" s="8">
        <v>6.5</v>
      </c>
      <c r="I43" s="8">
        <v>94.76</v>
      </c>
      <c r="J43" s="8">
        <v>75.25</v>
      </c>
      <c r="K43" s="8">
        <v>3.16</v>
      </c>
    </row>
    <row r="44" spans="1:11" ht="15.5" x14ac:dyDescent="0.35">
      <c r="A44" s="7" t="s">
        <v>53</v>
      </c>
      <c r="B44" s="8">
        <v>78.16</v>
      </c>
      <c r="C44" s="8">
        <v>9.2899999999999991</v>
      </c>
      <c r="D44" s="8">
        <v>33568.92</v>
      </c>
      <c r="E44" s="8">
        <v>12.04</v>
      </c>
      <c r="F44" s="8">
        <v>97.86</v>
      </c>
      <c r="G44" s="8">
        <v>38.549999999999997</v>
      </c>
      <c r="H44" s="8">
        <v>5.37</v>
      </c>
      <c r="I44" s="8">
        <v>95.99</v>
      </c>
      <c r="J44" s="8">
        <v>74.239999999999995</v>
      </c>
      <c r="K44" s="8">
        <v>3.97</v>
      </c>
    </row>
    <row r="45" spans="1:11" ht="15.5" x14ac:dyDescent="0.35">
      <c r="A45" s="7" t="s">
        <v>54</v>
      </c>
      <c r="B45" s="8">
        <v>79.3</v>
      </c>
      <c r="C45" s="8">
        <v>10.01</v>
      </c>
      <c r="D45" s="8">
        <v>32187.41</v>
      </c>
      <c r="E45" s="8">
        <v>7.47</v>
      </c>
      <c r="F45" s="8">
        <v>97.08</v>
      </c>
      <c r="G45" s="8">
        <v>38.15</v>
      </c>
      <c r="H45" s="8">
        <v>3.63</v>
      </c>
      <c r="I45" s="8">
        <v>97.87</v>
      </c>
      <c r="J45" s="8">
        <v>68.209999999999994</v>
      </c>
      <c r="K45" s="8">
        <v>3.65</v>
      </c>
    </row>
    <row r="46" spans="1:11" ht="15.5" x14ac:dyDescent="0.35">
      <c r="A46" s="7" t="s">
        <v>55</v>
      </c>
      <c r="B46" s="8">
        <v>72.540000000000006</v>
      </c>
      <c r="C46" s="8">
        <v>7.68</v>
      </c>
      <c r="D46" s="8">
        <v>24728.69</v>
      </c>
      <c r="E46" s="8">
        <v>10.71</v>
      </c>
      <c r="F46" s="8">
        <v>96.25</v>
      </c>
      <c r="G46" s="8">
        <v>19.25</v>
      </c>
      <c r="H46" s="8">
        <v>6.49</v>
      </c>
      <c r="I46" s="8">
        <v>92.27</v>
      </c>
      <c r="J46" s="8">
        <v>77.75</v>
      </c>
      <c r="K46" s="8">
        <v>2.4</v>
      </c>
    </row>
    <row r="47" spans="1:11" ht="15.5" x14ac:dyDescent="0.35">
      <c r="A47" s="7" t="s">
        <v>56</v>
      </c>
      <c r="B47" s="8">
        <v>78.11</v>
      </c>
      <c r="C47" s="8">
        <v>9.26</v>
      </c>
      <c r="D47" s="8">
        <v>31883.1</v>
      </c>
      <c r="E47" s="8">
        <v>9.59</v>
      </c>
      <c r="F47" s="8">
        <v>98.54</v>
      </c>
      <c r="G47" s="8">
        <v>46.97</v>
      </c>
      <c r="H47" s="8">
        <v>5.4</v>
      </c>
      <c r="I47" s="8">
        <v>97.13</v>
      </c>
      <c r="J47" s="8">
        <v>74.569999999999993</v>
      </c>
      <c r="K47" s="8">
        <v>3.47</v>
      </c>
    </row>
    <row r="48" spans="1:11" ht="15.5" x14ac:dyDescent="0.35">
      <c r="A48" s="7" t="s">
        <v>57</v>
      </c>
      <c r="B48" s="8">
        <v>75.53</v>
      </c>
      <c r="C48" s="8">
        <v>7.88</v>
      </c>
      <c r="D48" s="8">
        <v>32084.080000000002</v>
      </c>
      <c r="E48" s="8">
        <v>12.41</v>
      </c>
      <c r="F48" s="8">
        <v>95.71</v>
      </c>
      <c r="G48" s="8">
        <v>39.76</v>
      </c>
      <c r="H48" s="8">
        <v>4.9000000000000004</v>
      </c>
      <c r="I48" s="8">
        <v>92.57</v>
      </c>
      <c r="J48" s="8">
        <v>74.540000000000006</v>
      </c>
      <c r="K48" s="8">
        <v>3.53</v>
      </c>
    </row>
    <row r="49" spans="1:11" ht="15.5" x14ac:dyDescent="0.35">
      <c r="A49" s="7" t="s">
        <v>58</v>
      </c>
      <c r="B49" s="8">
        <v>72.02</v>
      </c>
      <c r="C49" s="8">
        <v>7.29</v>
      </c>
      <c r="D49" s="8">
        <v>23591.06</v>
      </c>
      <c r="E49" s="8">
        <v>11.43</v>
      </c>
      <c r="F49" s="8">
        <v>93.94</v>
      </c>
      <c r="G49" s="8">
        <v>14.79</v>
      </c>
      <c r="H49" s="8">
        <v>5.55</v>
      </c>
      <c r="I49" s="8">
        <v>86.4</v>
      </c>
      <c r="J49" s="8">
        <v>76.56</v>
      </c>
      <c r="K49" s="8">
        <v>3.23</v>
      </c>
    </row>
    <row r="50" spans="1:11" ht="15.5" x14ac:dyDescent="0.35">
      <c r="A50" s="7" t="s">
        <v>59</v>
      </c>
      <c r="B50" s="8">
        <v>71.42</v>
      </c>
      <c r="C50" s="8">
        <v>7.26</v>
      </c>
      <c r="D50" s="8">
        <v>19776.060000000001</v>
      </c>
      <c r="E50" s="8">
        <v>11.42</v>
      </c>
      <c r="F50" s="8">
        <v>90.81</v>
      </c>
      <c r="G50" s="8">
        <v>10.91</v>
      </c>
      <c r="H50" s="8">
        <v>5.16</v>
      </c>
      <c r="I50" s="8">
        <v>85.85</v>
      </c>
      <c r="J50" s="8">
        <v>73.510000000000005</v>
      </c>
      <c r="K50" s="8">
        <v>3.67</v>
      </c>
    </row>
    <row r="51" spans="1:11" ht="15.5" x14ac:dyDescent="0.35">
      <c r="A51" s="7" t="s">
        <v>60</v>
      </c>
      <c r="B51" s="8">
        <v>72.53</v>
      </c>
      <c r="C51" s="8">
        <v>7.73</v>
      </c>
      <c r="D51" s="8">
        <v>16248.58</v>
      </c>
      <c r="E51" s="8">
        <v>14.02</v>
      </c>
      <c r="F51" s="8">
        <v>94.89</v>
      </c>
      <c r="G51" s="8">
        <v>24.39</v>
      </c>
      <c r="H51" s="8">
        <v>5.61</v>
      </c>
      <c r="I51" s="8">
        <v>88.45</v>
      </c>
      <c r="J51" s="8">
        <v>74.5</v>
      </c>
      <c r="K51" s="8">
        <v>2.84</v>
      </c>
    </row>
    <row r="52" spans="1:11" ht="15.5" x14ac:dyDescent="0.35">
      <c r="A52" s="7" t="s">
        <v>61</v>
      </c>
      <c r="B52" s="8">
        <v>74.099999999999994</v>
      </c>
      <c r="C52" s="8">
        <v>7.82</v>
      </c>
      <c r="D52" s="8">
        <v>36780.74</v>
      </c>
      <c r="E52" s="8">
        <v>9.17</v>
      </c>
      <c r="F52" s="8">
        <v>96.33</v>
      </c>
      <c r="G52" s="8">
        <v>28.78</v>
      </c>
      <c r="H52" s="8">
        <v>6.26</v>
      </c>
      <c r="I52" s="8">
        <v>92.46</v>
      </c>
      <c r="J52" s="8">
        <v>76.75</v>
      </c>
      <c r="K52" s="8">
        <v>3.87</v>
      </c>
    </row>
    <row r="53" spans="1:11" ht="15.5" x14ac:dyDescent="0.35">
      <c r="A53" s="7" t="s">
        <v>62</v>
      </c>
      <c r="B53" s="8">
        <v>77.209999999999994</v>
      </c>
      <c r="C53" s="8">
        <v>9.35</v>
      </c>
      <c r="D53" s="8">
        <v>75010.789999999994</v>
      </c>
      <c r="E53" s="8">
        <v>7.23</v>
      </c>
      <c r="F53" s="8">
        <v>95.9</v>
      </c>
      <c r="G53" s="8">
        <v>77.709999999999994</v>
      </c>
      <c r="H53" s="8">
        <v>1.76</v>
      </c>
      <c r="I53" s="8">
        <v>93.92</v>
      </c>
      <c r="J53" s="8">
        <v>75.53</v>
      </c>
      <c r="K53" s="8">
        <v>3.19</v>
      </c>
    </row>
    <row r="54" spans="1:11" ht="15.5" x14ac:dyDescent="0.35">
      <c r="A54" s="7" t="s">
        <v>63</v>
      </c>
      <c r="B54" s="8">
        <v>74.319999999999993</v>
      </c>
      <c r="C54" s="8">
        <v>8.27</v>
      </c>
      <c r="D54" s="8">
        <v>25482.07</v>
      </c>
      <c r="E54" s="8">
        <v>6.09</v>
      </c>
      <c r="F54" s="8">
        <v>68.05</v>
      </c>
      <c r="G54" s="8">
        <v>34.01</v>
      </c>
      <c r="H54" s="8">
        <v>2.97</v>
      </c>
      <c r="I54" s="8">
        <v>91.63</v>
      </c>
      <c r="J54" s="8">
        <v>71.94</v>
      </c>
      <c r="K54" s="8">
        <v>3.34</v>
      </c>
    </row>
    <row r="55" spans="1:11" ht="15.5" x14ac:dyDescent="0.35">
      <c r="A55" s="7" t="s">
        <v>64</v>
      </c>
      <c r="B55" s="8">
        <v>74.569999999999993</v>
      </c>
      <c r="C55" s="8">
        <v>8.2799999999999994</v>
      </c>
      <c r="D55" s="8">
        <v>21894.6</v>
      </c>
      <c r="E55" s="8">
        <v>11.89</v>
      </c>
      <c r="F55" s="8">
        <v>95.13</v>
      </c>
      <c r="G55" s="8">
        <v>31.66</v>
      </c>
      <c r="H55" s="8">
        <v>4.7699999999999996</v>
      </c>
      <c r="I55" s="8">
        <v>91.19</v>
      </c>
      <c r="J55" s="8">
        <v>72.36</v>
      </c>
      <c r="K55" s="8">
        <v>4.75</v>
      </c>
    </row>
    <row r="56" spans="1:11" ht="15.5" x14ac:dyDescent="0.35">
      <c r="A56" s="7" t="s">
        <v>65</v>
      </c>
      <c r="B56" s="8">
        <v>75.67</v>
      </c>
      <c r="C56" s="8">
        <v>8.16</v>
      </c>
      <c r="D56" s="8">
        <v>41529.4</v>
      </c>
      <c r="E56" s="8">
        <v>6.96</v>
      </c>
      <c r="F56" s="8">
        <v>86.32</v>
      </c>
      <c r="G56" s="8">
        <v>38.71</v>
      </c>
      <c r="H56" s="8">
        <v>3.86</v>
      </c>
      <c r="I56" s="8">
        <v>96.63</v>
      </c>
      <c r="J56" s="8">
        <v>79.290000000000006</v>
      </c>
      <c r="K56" s="8">
        <v>3.73</v>
      </c>
    </row>
    <row r="57" spans="1:11" ht="15.5" x14ac:dyDescent="0.35">
      <c r="A57" s="7" t="s">
        <v>66</v>
      </c>
      <c r="B57" s="8">
        <v>71.86</v>
      </c>
      <c r="C57" s="8">
        <v>7.53</v>
      </c>
      <c r="D57" s="8">
        <v>17855.599999999999</v>
      </c>
      <c r="E57" s="8">
        <v>8.67</v>
      </c>
      <c r="F57" s="8">
        <v>71.77</v>
      </c>
      <c r="G57" s="8">
        <v>25.53</v>
      </c>
      <c r="H57" s="8">
        <v>3.05</v>
      </c>
      <c r="I57" s="8">
        <v>96.13</v>
      </c>
      <c r="J57" s="8">
        <v>78.06</v>
      </c>
      <c r="K57" s="8">
        <v>2.35</v>
      </c>
    </row>
    <row r="58" spans="1:11" ht="15.5" x14ac:dyDescent="0.35">
      <c r="A58" s="7" t="s">
        <v>67</v>
      </c>
      <c r="B58" s="8">
        <v>74.34</v>
      </c>
      <c r="C58" s="8">
        <v>7.74</v>
      </c>
      <c r="D58" s="8">
        <v>37201.449999999997</v>
      </c>
      <c r="E58" s="8">
        <v>9.35</v>
      </c>
      <c r="F58" s="8">
        <v>83.05</v>
      </c>
      <c r="G58" s="8">
        <v>41.7</v>
      </c>
      <c r="H58" s="8">
        <v>4.3600000000000003</v>
      </c>
      <c r="I58" s="8">
        <v>94.29</v>
      </c>
      <c r="J58" s="8">
        <v>76.849999999999994</v>
      </c>
      <c r="K58" s="8">
        <v>5.01</v>
      </c>
    </row>
    <row r="59" spans="1:11" ht="15.5" x14ac:dyDescent="0.35">
      <c r="A59" s="7" t="s">
        <v>68</v>
      </c>
      <c r="B59" s="8">
        <v>70.73</v>
      </c>
      <c r="C59" s="8">
        <v>7.08</v>
      </c>
      <c r="D59" s="8">
        <v>18693.22</v>
      </c>
      <c r="E59" s="8">
        <v>8.73</v>
      </c>
      <c r="F59" s="8">
        <v>65.92</v>
      </c>
      <c r="G59" s="8">
        <v>34.89</v>
      </c>
      <c r="H59" s="8">
        <v>5.29</v>
      </c>
      <c r="I59" s="8">
        <v>92.59</v>
      </c>
      <c r="J59" s="8">
        <v>77.91</v>
      </c>
      <c r="K59" s="8">
        <v>5.67</v>
      </c>
    </row>
    <row r="60" spans="1:11" ht="15.5" x14ac:dyDescent="0.35">
      <c r="A60" s="7" t="s">
        <v>69</v>
      </c>
      <c r="B60" s="8">
        <v>71.95</v>
      </c>
      <c r="C60" s="8">
        <v>7.48</v>
      </c>
      <c r="D60" s="8">
        <v>19283.060000000001</v>
      </c>
      <c r="E60" s="8">
        <v>8.9499999999999993</v>
      </c>
      <c r="F60" s="8">
        <v>82.61</v>
      </c>
      <c r="G60" s="8">
        <v>29.66</v>
      </c>
      <c r="H60" s="8">
        <v>2.96</v>
      </c>
      <c r="I60" s="8">
        <v>92.87</v>
      </c>
      <c r="J60" s="8">
        <v>76.38</v>
      </c>
      <c r="K60" s="8">
        <v>3.3</v>
      </c>
    </row>
    <row r="61" spans="1:11" ht="15.5" x14ac:dyDescent="0.35">
      <c r="A61" s="7" t="s">
        <v>70</v>
      </c>
      <c r="B61" s="8">
        <v>68.650000000000006</v>
      </c>
      <c r="C61" s="8">
        <v>6.56</v>
      </c>
      <c r="D61" s="8">
        <v>21778.06</v>
      </c>
      <c r="E61" s="8">
        <v>14.92</v>
      </c>
      <c r="F61" s="8">
        <v>84.32</v>
      </c>
      <c r="G61" s="8">
        <v>22.51</v>
      </c>
      <c r="H61" s="8">
        <v>4.34</v>
      </c>
      <c r="I61" s="8">
        <v>87.3</v>
      </c>
      <c r="J61" s="8">
        <v>72.239999999999995</v>
      </c>
      <c r="K61" s="8">
        <v>6.63</v>
      </c>
    </row>
    <row r="62" spans="1:11" ht="15.5" x14ac:dyDescent="0.35">
      <c r="A62" s="7" t="s">
        <v>71</v>
      </c>
      <c r="B62" s="8">
        <v>71.7</v>
      </c>
      <c r="C62" s="8">
        <v>7.36</v>
      </c>
      <c r="D62" s="8">
        <v>29444.38</v>
      </c>
      <c r="E62" s="8">
        <v>6.81</v>
      </c>
      <c r="F62" s="8">
        <v>87.09</v>
      </c>
      <c r="G62" s="8">
        <v>36.450000000000003</v>
      </c>
      <c r="H62" s="8">
        <v>3.87</v>
      </c>
      <c r="I62" s="8">
        <v>88.72</v>
      </c>
      <c r="J62" s="8">
        <v>73.489999999999995</v>
      </c>
      <c r="K62" s="8">
        <v>7.53</v>
      </c>
    </row>
    <row r="63" spans="1:11" ht="15.5" x14ac:dyDescent="0.35">
      <c r="A63" s="7" t="s">
        <v>72</v>
      </c>
      <c r="B63" s="8">
        <v>70.180000000000007</v>
      </c>
      <c r="C63" s="8">
        <v>6.41</v>
      </c>
      <c r="D63" s="8">
        <v>38546.980000000003</v>
      </c>
      <c r="E63" s="8">
        <v>15.6</v>
      </c>
      <c r="F63" s="8">
        <v>85.85</v>
      </c>
      <c r="G63" s="8">
        <v>19.309999999999999</v>
      </c>
      <c r="H63" s="8">
        <v>6.16</v>
      </c>
      <c r="I63" s="8">
        <v>87.54</v>
      </c>
      <c r="J63" s="8">
        <v>71.92</v>
      </c>
      <c r="K63" s="8">
        <v>8.35</v>
      </c>
    </row>
    <row r="64" spans="1:11" ht="15.5" x14ac:dyDescent="0.35">
      <c r="A64" s="7" t="s">
        <v>73</v>
      </c>
      <c r="B64" s="8">
        <v>82.15</v>
      </c>
      <c r="C64" s="8">
        <v>11.43</v>
      </c>
      <c r="D64" s="8">
        <v>7668.79</v>
      </c>
      <c r="E64" s="8">
        <v>5.94</v>
      </c>
      <c r="F64" s="8">
        <v>88.55</v>
      </c>
      <c r="G64" s="8">
        <v>16.489999999999998</v>
      </c>
      <c r="H64" s="8">
        <v>4.09</v>
      </c>
      <c r="I64" s="8">
        <v>96.66</v>
      </c>
      <c r="J64" s="8">
        <v>67.66</v>
      </c>
      <c r="K64" s="8">
        <v>4.4000000000000004</v>
      </c>
    </row>
    <row r="65" spans="1:11" ht="15.5" x14ac:dyDescent="0.35">
      <c r="A65" s="7" t="s">
        <v>74</v>
      </c>
      <c r="B65" s="8">
        <v>84.41</v>
      </c>
      <c r="C65" s="8">
        <v>11.25</v>
      </c>
      <c r="D65" s="8">
        <v>42897.32</v>
      </c>
      <c r="E65" s="8">
        <v>8.31</v>
      </c>
      <c r="F65" s="8">
        <v>85.07</v>
      </c>
      <c r="G65" s="8">
        <v>8.5500000000000007</v>
      </c>
      <c r="H65" s="8">
        <v>2.86</v>
      </c>
      <c r="I65" s="8">
        <v>97.43</v>
      </c>
      <c r="J65" s="8">
        <v>67.42</v>
      </c>
      <c r="K65" s="8">
        <v>4.6100000000000003</v>
      </c>
    </row>
    <row r="66" spans="1:11" ht="15.5" x14ac:dyDescent="0.35">
      <c r="A66" s="7" t="s">
        <v>75</v>
      </c>
      <c r="B66" s="8">
        <v>85.72</v>
      </c>
      <c r="C66" s="8">
        <v>11.48</v>
      </c>
      <c r="D66" s="8">
        <v>11505.05</v>
      </c>
      <c r="E66" s="8">
        <v>4.57</v>
      </c>
      <c r="F66" s="8">
        <v>96.28</v>
      </c>
      <c r="G66" s="8">
        <v>33.14</v>
      </c>
      <c r="H66" s="8">
        <v>3.77</v>
      </c>
      <c r="I66" s="8">
        <v>95.49</v>
      </c>
      <c r="J66" s="8">
        <v>70.72</v>
      </c>
      <c r="K66" s="8">
        <v>3.86</v>
      </c>
    </row>
    <row r="67" spans="1:11" ht="15.5" x14ac:dyDescent="0.35">
      <c r="A67" s="7" t="s">
        <v>76</v>
      </c>
      <c r="B67" s="8">
        <v>85.24</v>
      </c>
      <c r="C67" s="8">
        <v>11.05</v>
      </c>
      <c r="D67" s="8">
        <v>170947.72</v>
      </c>
      <c r="E67" s="8">
        <v>4.03</v>
      </c>
      <c r="F67" s="8">
        <v>95.83</v>
      </c>
      <c r="G67" s="8">
        <v>28.35</v>
      </c>
      <c r="H67" s="8">
        <v>2.4300000000000002</v>
      </c>
      <c r="I67" s="8">
        <v>96.28</v>
      </c>
      <c r="J67" s="8">
        <v>69.88</v>
      </c>
      <c r="K67" s="8">
        <v>5.82</v>
      </c>
    </row>
    <row r="68" spans="1:11" ht="15.5" x14ac:dyDescent="0.35">
      <c r="A68" s="7" t="s">
        <v>77</v>
      </c>
      <c r="B68" s="8">
        <v>77.209999999999994</v>
      </c>
      <c r="C68" s="8">
        <v>9.34</v>
      </c>
      <c r="D68" s="8">
        <v>8928.7999999999993</v>
      </c>
      <c r="E68" s="8">
        <v>6.71</v>
      </c>
      <c r="F68" s="8">
        <v>89.38</v>
      </c>
      <c r="G68" s="8">
        <v>19.86</v>
      </c>
      <c r="H68" s="8">
        <v>0.79</v>
      </c>
      <c r="I68" s="8">
        <v>95.49</v>
      </c>
      <c r="J68" s="8">
        <v>76.06</v>
      </c>
      <c r="K68" s="8">
        <v>4.91</v>
      </c>
    </row>
    <row r="69" spans="1:11" ht="15.5" x14ac:dyDescent="0.35">
      <c r="A69" s="7" t="s">
        <v>78</v>
      </c>
      <c r="B69" s="8">
        <v>77.5</v>
      </c>
      <c r="C69" s="8">
        <v>9.2799999999999994</v>
      </c>
      <c r="D69" s="8">
        <v>13119.7</v>
      </c>
      <c r="E69" s="8">
        <v>7.64</v>
      </c>
      <c r="F69" s="8">
        <v>92.48</v>
      </c>
      <c r="G69" s="8">
        <v>16.68</v>
      </c>
      <c r="H69" s="8">
        <v>5.19</v>
      </c>
      <c r="I69" s="8">
        <v>93.92</v>
      </c>
      <c r="J69" s="8">
        <v>69.61</v>
      </c>
      <c r="K69" s="8">
        <v>5.88</v>
      </c>
    </row>
    <row r="70" spans="1:11" ht="15.5" x14ac:dyDescent="0.35">
      <c r="A70" s="7" t="s">
        <v>79</v>
      </c>
      <c r="B70" s="8">
        <v>76.180000000000007</v>
      </c>
      <c r="C70" s="8">
        <v>9.1999999999999993</v>
      </c>
      <c r="D70" s="8">
        <v>10426.23</v>
      </c>
      <c r="E70" s="8">
        <v>15.62</v>
      </c>
      <c r="F70" s="8">
        <v>97.16</v>
      </c>
      <c r="G70" s="8">
        <v>10.11</v>
      </c>
      <c r="H70" s="8">
        <v>4.33</v>
      </c>
      <c r="I70" s="8">
        <v>95.86</v>
      </c>
      <c r="J70" s="8">
        <v>78.569999999999993</v>
      </c>
      <c r="K70" s="8">
        <v>2.0099999999999998</v>
      </c>
    </row>
    <row r="71" spans="1:11" ht="15.5" x14ac:dyDescent="0.35">
      <c r="A71" s="7" t="s">
        <v>80</v>
      </c>
      <c r="B71" s="8">
        <v>82.05</v>
      </c>
      <c r="C71" s="8">
        <v>9.81</v>
      </c>
      <c r="D71" s="8">
        <v>22964.66</v>
      </c>
      <c r="E71" s="8">
        <v>11.66</v>
      </c>
      <c r="F71" s="8">
        <v>96.46</v>
      </c>
      <c r="G71" s="8">
        <v>14.08</v>
      </c>
      <c r="H71" s="8">
        <v>3.75</v>
      </c>
      <c r="I71" s="8">
        <v>96.05</v>
      </c>
      <c r="J71" s="8">
        <v>74.87</v>
      </c>
      <c r="K71" s="8">
        <v>3.62</v>
      </c>
    </row>
    <row r="72" spans="1:11" ht="15.5" x14ac:dyDescent="0.35">
      <c r="A72" s="7" t="s">
        <v>81</v>
      </c>
      <c r="B72" s="8">
        <v>72.14</v>
      </c>
      <c r="C72" s="8">
        <v>7.35</v>
      </c>
      <c r="D72" s="8">
        <v>16506.419999999998</v>
      </c>
      <c r="E72" s="8">
        <v>15.18</v>
      </c>
      <c r="F72" s="8">
        <v>97.63</v>
      </c>
      <c r="G72" s="8">
        <v>8.3800000000000008</v>
      </c>
      <c r="H72" s="8">
        <v>3.76</v>
      </c>
      <c r="I72" s="8">
        <v>87.13</v>
      </c>
      <c r="J72" s="8">
        <v>76.87</v>
      </c>
      <c r="K72" s="8">
        <v>2.16</v>
      </c>
    </row>
    <row r="73" spans="1:11" ht="15.5" x14ac:dyDescent="0.35">
      <c r="A73" s="7" t="s">
        <v>82</v>
      </c>
      <c r="B73" s="8">
        <v>85.71</v>
      </c>
      <c r="C73" s="8">
        <v>11.33</v>
      </c>
      <c r="D73" s="8">
        <v>41560</v>
      </c>
      <c r="E73" s="8">
        <v>7.46</v>
      </c>
      <c r="F73" s="8">
        <v>96.43</v>
      </c>
      <c r="G73" s="8">
        <v>12.37</v>
      </c>
      <c r="H73" s="8">
        <v>2.88</v>
      </c>
      <c r="I73" s="8">
        <v>97.11</v>
      </c>
      <c r="J73" s="8">
        <v>73.27</v>
      </c>
      <c r="K73" s="8">
        <v>4.13</v>
      </c>
    </row>
    <row r="74" spans="1:11" ht="15.5" x14ac:dyDescent="0.35">
      <c r="A74" s="7" t="s">
        <v>83</v>
      </c>
      <c r="B74" s="8">
        <v>89.1</v>
      </c>
      <c r="C74" s="8">
        <v>12.12</v>
      </c>
      <c r="D74" s="8">
        <v>32964.35</v>
      </c>
      <c r="E74" s="8">
        <v>6.26</v>
      </c>
      <c r="F74" s="8">
        <v>96.27</v>
      </c>
      <c r="G74" s="8">
        <v>12.02</v>
      </c>
      <c r="H74" s="8">
        <v>3.51</v>
      </c>
      <c r="I74" s="8">
        <v>99.25</v>
      </c>
      <c r="J74" s="8">
        <v>70.56</v>
      </c>
      <c r="K74" s="8">
        <v>5.8</v>
      </c>
    </row>
    <row r="75" spans="1:11" ht="15.5" x14ac:dyDescent="0.35">
      <c r="A75" s="7" t="s">
        <v>84</v>
      </c>
      <c r="B75" s="8">
        <v>71.489999999999995</v>
      </c>
      <c r="C75" s="8">
        <v>7.9</v>
      </c>
      <c r="D75" s="8">
        <v>12775.8</v>
      </c>
      <c r="E75" s="8">
        <v>13.08</v>
      </c>
      <c r="F75" s="8">
        <v>81.260000000000005</v>
      </c>
      <c r="G75" s="8">
        <v>7.71</v>
      </c>
      <c r="H75" s="8">
        <v>7.14</v>
      </c>
      <c r="I75" s="8">
        <v>87.11</v>
      </c>
      <c r="J75" s="8">
        <v>86.62</v>
      </c>
      <c r="K75" s="8">
        <v>1.56</v>
      </c>
    </row>
    <row r="76" spans="1:11" ht="15.5" x14ac:dyDescent="0.35">
      <c r="A76" s="7" t="s">
        <v>85</v>
      </c>
      <c r="B76" s="8">
        <v>73.7</v>
      </c>
      <c r="C76" s="8">
        <v>7.8</v>
      </c>
      <c r="D76" s="8">
        <v>16622.8</v>
      </c>
      <c r="E76" s="8">
        <v>9.11</v>
      </c>
      <c r="F76" s="8">
        <v>92.57</v>
      </c>
      <c r="G76" s="8">
        <v>9.6199999999999992</v>
      </c>
      <c r="H76" s="8">
        <v>7.49</v>
      </c>
      <c r="I76" s="8">
        <v>95.16</v>
      </c>
      <c r="J76" s="8">
        <v>78.75</v>
      </c>
      <c r="K76" s="8">
        <v>4.1900000000000004</v>
      </c>
    </row>
    <row r="77" spans="1:11" ht="15.5" x14ac:dyDescent="0.35">
      <c r="A77" s="7" t="s">
        <v>86</v>
      </c>
      <c r="B77" s="8">
        <v>72.47</v>
      </c>
      <c r="C77" s="8">
        <v>7.92</v>
      </c>
      <c r="D77" s="8">
        <v>14881.6</v>
      </c>
      <c r="E77" s="8">
        <v>10.5</v>
      </c>
      <c r="F77" s="8">
        <v>84.66</v>
      </c>
      <c r="G77" s="8">
        <v>19.420000000000002</v>
      </c>
      <c r="H77" s="8">
        <v>6.68</v>
      </c>
      <c r="I77" s="8">
        <v>93.2</v>
      </c>
      <c r="J77" s="8">
        <v>80.08</v>
      </c>
      <c r="K77" s="8">
        <v>3.9</v>
      </c>
    </row>
    <row r="78" spans="1:11" ht="15.5" x14ac:dyDescent="0.35">
      <c r="A78" s="7" t="s">
        <v>87</v>
      </c>
      <c r="B78" s="8">
        <v>75.13</v>
      </c>
      <c r="C78" s="8">
        <v>8.68</v>
      </c>
      <c r="D78" s="8">
        <v>31703.9</v>
      </c>
      <c r="E78" s="8">
        <v>6.28</v>
      </c>
      <c r="F78" s="8">
        <v>87.76</v>
      </c>
      <c r="G78" s="8">
        <v>24.16</v>
      </c>
      <c r="H78" s="8">
        <v>7.11</v>
      </c>
      <c r="I78" s="8">
        <v>95.99</v>
      </c>
      <c r="J78" s="8">
        <v>75.569999999999993</v>
      </c>
      <c r="K78" s="8">
        <v>4.12</v>
      </c>
    </row>
    <row r="79" spans="1:11" ht="15.5" x14ac:dyDescent="0.35">
      <c r="A79" s="7" t="s">
        <v>88</v>
      </c>
      <c r="B79" s="8">
        <v>73.44</v>
      </c>
      <c r="C79" s="8">
        <v>7.87</v>
      </c>
      <c r="D79" s="8">
        <v>29493.8</v>
      </c>
      <c r="E79" s="8">
        <v>8.16</v>
      </c>
      <c r="F79" s="8">
        <v>86.16</v>
      </c>
      <c r="G79" s="8">
        <v>15.46</v>
      </c>
      <c r="H79" s="8">
        <v>6.62</v>
      </c>
      <c r="I79" s="8">
        <v>94.1</v>
      </c>
      <c r="J79" s="8">
        <v>72.36</v>
      </c>
      <c r="K79" s="8">
        <v>4.7699999999999996</v>
      </c>
    </row>
    <row r="80" spans="1:11" ht="15.5" x14ac:dyDescent="0.35">
      <c r="A80" s="7" t="s">
        <v>89</v>
      </c>
      <c r="B80" s="8">
        <v>75.180000000000007</v>
      </c>
      <c r="C80" s="8">
        <v>8.26</v>
      </c>
      <c r="D80" s="8">
        <v>33787.599999999999</v>
      </c>
      <c r="E80" s="8">
        <v>9.9499999999999993</v>
      </c>
      <c r="F80" s="8">
        <v>94.94</v>
      </c>
      <c r="G80" s="8">
        <v>23.06</v>
      </c>
      <c r="H80" s="8">
        <v>7.85</v>
      </c>
      <c r="I80" s="8">
        <v>94.01</v>
      </c>
      <c r="J80" s="8">
        <v>71.31</v>
      </c>
      <c r="K80" s="8">
        <v>5.0999999999999996</v>
      </c>
    </row>
    <row r="81" spans="1:11" ht="15.5" x14ac:dyDescent="0.35">
      <c r="A81" s="7" t="s">
        <v>90</v>
      </c>
      <c r="B81" s="8">
        <v>73.53</v>
      </c>
      <c r="C81" s="8">
        <v>7.8</v>
      </c>
      <c r="D81" s="8">
        <v>79500.899999999994</v>
      </c>
      <c r="E81" s="8">
        <v>8.98</v>
      </c>
      <c r="F81" s="8">
        <v>86.74</v>
      </c>
      <c r="G81" s="8">
        <v>32.71</v>
      </c>
      <c r="H81" s="8">
        <v>4.68</v>
      </c>
      <c r="I81" s="8">
        <v>89.53</v>
      </c>
      <c r="J81" s="8">
        <v>72.900000000000006</v>
      </c>
      <c r="K81" s="8">
        <v>5.13</v>
      </c>
    </row>
    <row r="82" spans="1:11" ht="15.5" x14ac:dyDescent="0.35">
      <c r="A82" s="7" t="s">
        <v>91</v>
      </c>
      <c r="B82" s="8">
        <v>70.31</v>
      </c>
      <c r="C82" s="8">
        <v>7.27</v>
      </c>
      <c r="D82" s="8">
        <v>25929.9</v>
      </c>
      <c r="E82" s="8">
        <v>8.65</v>
      </c>
      <c r="F82" s="8">
        <v>82.45</v>
      </c>
      <c r="G82" s="8">
        <v>23.29</v>
      </c>
      <c r="H82" s="8">
        <v>7.66</v>
      </c>
      <c r="I82" s="8">
        <v>90.16</v>
      </c>
      <c r="J82" s="8">
        <v>70.86</v>
      </c>
      <c r="K82" s="8">
        <v>3.28</v>
      </c>
    </row>
    <row r="83" spans="1:11" ht="15.5" x14ac:dyDescent="0.35">
      <c r="A83" s="7" t="s">
        <v>92</v>
      </c>
      <c r="B83" s="8">
        <v>70.930000000000007</v>
      </c>
      <c r="C83" s="8">
        <v>6.54</v>
      </c>
      <c r="D83" s="8">
        <v>62897.2</v>
      </c>
      <c r="E83" s="8">
        <v>9.01</v>
      </c>
      <c r="F83" s="8">
        <v>67.459999999999994</v>
      </c>
      <c r="G83" s="8">
        <v>21.01</v>
      </c>
      <c r="H83" s="8">
        <v>5.59</v>
      </c>
      <c r="I83" s="8">
        <v>86.35</v>
      </c>
      <c r="J83" s="8">
        <v>73.760000000000005</v>
      </c>
      <c r="K83" s="8">
        <v>3.23</v>
      </c>
    </row>
    <row r="84" spans="1:11" ht="15.5" x14ac:dyDescent="0.35">
      <c r="A84" s="7" t="s">
        <v>93</v>
      </c>
      <c r="B84" s="8">
        <v>74.3</v>
      </c>
      <c r="C84" s="8">
        <v>7.78</v>
      </c>
      <c r="D84" s="8">
        <v>63693.599999999999</v>
      </c>
      <c r="E84" s="8">
        <v>6.54</v>
      </c>
      <c r="F84" s="8">
        <v>86.22</v>
      </c>
      <c r="G84" s="8">
        <v>12.94</v>
      </c>
      <c r="H84" s="8">
        <v>7.05</v>
      </c>
      <c r="I84" s="8">
        <v>88.09</v>
      </c>
      <c r="J84" s="8">
        <v>75.36</v>
      </c>
      <c r="K84" s="8">
        <v>4.03</v>
      </c>
    </row>
    <row r="85" spans="1:11" ht="15.5" x14ac:dyDescent="0.35">
      <c r="A85" s="7" t="s">
        <v>94</v>
      </c>
      <c r="B85" s="8">
        <v>71.22</v>
      </c>
      <c r="C85" s="8">
        <v>6.53</v>
      </c>
      <c r="D85" s="8">
        <v>15809.3</v>
      </c>
      <c r="E85" s="8">
        <v>12.6</v>
      </c>
      <c r="F85" s="8">
        <v>62.1</v>
      </c>
      <c r="G85" s="8">
        <v>25.21</v>
      </c>
      <c r="H85" s="8">
        <v>4.4800000000000004</v>
      </c>
      <c r="I85" s="8">
        <v>91.49</v>
      </c>
      <c r="J85" s="8">
        <v>75.099999999999994</v>
      </c>
      <c r="K85" s="8">
        <v>3.63</v>
      </c>
    </row>
    <row r="86" spans="1:11" ht="15.5" x14ac:dyDescent="0.35">
      <c r="A86" s="7" t="s">
        <v>95</v>
      </c>
      <c r="B86" s="8">
        <v>71.22</v>
      </c>
      <c r="C86" s="8">
        <v>6.93</v>
      </c>
      <c r="D86" s="8">
        <v>15741.8</v>
      </c>
      <c r="E86" s="8">
        <v>11.51</v>
      </c>
      <c r="F86" s="8">
        <v>62.66</v>
      </c>
      <c r="G86" s="8">
        <v>20.97</v>
      </c>
      <c r="H86" s="8">
        <v>6.7</v>
      </c>
      <c r="I86" s="8">
        <v>87.99</v>
      </c>
      <c r="J86" s="8">
        <v>76.66</v>
      </c>
      <c r="K86" s="8">
        <v>3.15</v>
      </c>
    </row>
    <row r="87" spans="1:11" ht="15.5" x14ac:dyDescent="0.35">
      <c r="A87" s="7" t="s">
        <v>96</v>
      </c>
      <c r="B87" s="8">
        <v>70.849999999999994</v>
      </c>
      <c r="C87" s="8">
        <v>6.31</v>
      </c>
      <c r="D87" s="8">
        <v>27153.1</v>
      </c>
      <c r="E87" s="8">
        <v>16.45</v>
      </c>
      <c r="F87" s="8">
        <v>66.39</v>
      </c>
      <c r="G87" s="8">
        <v>27.36</v>
      </c>
      <c r="H87" s="8">
        <v>7.16</v>
      </c>
      <c r="I87" s="8">
        <v>87.11</v>
      </c>
      <c r="J87" s="8">
        <v>73.180000000000007</v>
      </c>
      <c r="K87" s="8">
        <v>3</v>
      </c>
    </row>
    <row r="88" spans="1:11" ht="15.5" x14ac:dyDescent="0.35">
      <c r="A88" s="7" t="s">
        <v>97</v>
      </c>
      <c r="B88" s="8">
        <v>72.36</v>
      </c>
      <c r="C88" s="8">
        <v>7.46</v>
      </c>
      <c r="D88" s="8">
        <v>125622.8</v>
      </c>
      <c r="E88" s="8">
        <v>8.6300000000000008</v>
      </c>
      <c r="F88" s="8">
        <v>86.36</v>
      </c>
      <c r="G88" s="8">
        <v>60.65</v>
      </c>
      <c r="H88" s="8">
        <v>5.47</v>
      </c>
      <c r="I88" s="8">
        <v>91.94</v>
      </c>
      <c r="J88" s="8">
        <v>75.31</v>
      </c>
      <c r="K88" s="8">
        <v>5.0199999999999996</v>
      </c>
    </row>
    <row r="89" spans="1:11" ht="15.5" x14ac:dyDescent="0.35">
      <c r="A89" s="7" t="s">
        <v>98</v>
      </c>
      <c r="B89" s="8">
        <v>82.67</v>
      </c>
      <c r="C89" s="8">
        <v>10.91</v>
      </c>
      <c r="D89" s="8">
        <v>169867.8</v>
      </c>
      <c r="E89" s="8">
        <v>4.53</v>
      </c>
      <c r="F89" s="8">
        <v>97.95</v>
      </c>
      <c r="G89" s="8">
        <v>48.57</v>
      </c>
      <c r="H89" s="8">
        <v>5.18</v>
      </c>
      <c r="I89" s="8">
        <v>95.45</v>
      </c>
      <c r="J89" s="8">
        <v>68.37</v>
      </c>
      <c r="K89" s="8">
        <v>6.49</v>
      </c>
    </row>
    <row r="90" spans="1:11" ht="15.5" x14ac:dyDescent="0.35">
      <c r="A90" s="7" t="s">
        <v>99</v>
      </c>
      <c r="B90" s="8">
        <v>76.69</v>
      </c>
      <c r="C90" s="8">
        <v>9.1300000000000008</v>
      </c>
      <c r="D90" s="8">
        <v>70527.7</v>
      </c>
      <c r="E90" s="8">
        <v>9.3699999999999992</v>
      </c>
      <c r="F90" s="8">
        <v>91.14</v>
      </c>
      <c r="G90" s="8">
        <v>57.93</v>
      </c>
      <c r="H90" s="8">
        <v>5.89</v>
      </c>
      <c r="I90" s="8">
        <v>92.41</v>
      </c>
      <c r="J90" s="8">
        <v>73.94</v>
      </c>
      <c r="K90" s="8">
        <v>3.87</v>
      </c>
    </row>
    <row r="91" spans="1:11" ht="15.5" x14ac:dyDescent="0.35">
      <c r="A91" s="7" t="s">
        <v>100</v>
      </c>
      <c r="B91" s="8">
        <v>75.67</v>
      </c>
      <c r="C91" s="8">
        <v>8.7799999999999994</v>
      </c>
      <c r="D91" s="8">
        <v>33230.5</v>
      </c>
      <c r="E91" s="8">
        <v>8.6</v>
      </c>
      <c r="F91" s="8">
        <v>96.13</v>
      </c>
      <c r="G91" s="8">
        <v>22.24</v>
      </c>
      <c r="H91" s="8">
        <v>6.65</v>
      </c>
      <c r="I91" s="8">
        <v>91.32</v>
      </c>
      <c r="J91" s="8">
        <v>71.88</v>
      </c>
      <c r="K91" s="8">
        <v>3.75</v>
      </c>
    </row>
    <row r="92" spans="1:11" ht="15.5" x14ac:dyDescent="0.35">
      <c r="A92" s="7" t="s">
        <v>101</v>
      </c>
      <c r="B92" s="8">
        <v>75.239999999999995</v>
      </c>
      <c r="C92" s="8">
        <v>8.25</v>
      </c>
      <c r="D92" s="8">
        <v>21614.9</v>
      </c>
      <c r="E92" s="8">
        <v>10.17</v>
      </c>
      <c r="F92" s="8">
        <v>90.96</v>
      </c>
      <c r="G92" s="8">
        <v>16.309999999999999</v>
      </c>
      <c r="H92" s="8">
        <v>6.67</v>
      </c>
      <c r="I92" s="8">
        <v>94.92</v>
      </c>
      <c r="J92" s="8">
        <v>69.790000000000006</v>
      </c>
      <c r="K92" s="8">
        <v>3.87</v>
      </c>
    </row>
    <row r="93" spans="1:11" ht="15.5" x14ac:dyDescent="0.35">
      <c r="A93" s="7" t="s">
        <v>102</v>
      </c>
      <c r="B93" s="8">
        <v>74.81</v>
      </c>
      <c r="C93" s="8">
        <v>8.1999999999999993</v>
      </c>
      <c r="D93" s="8">
        <v>15593.2</v>
      </c>
      <c r="E93" s="8">
        <v>10.63</v>
      </c>
      <c r="F93" s="8">
        <v>91.47</v>
      </c>
      <c r="G93" s="8">
        <v>14.57</v>
      </c>
      <c r="H93" s="8">
        <v>5.01</v>
      </c>
      <c r="I93" s="8">
        <v>93.33</v>
      </c>
      <c r="J93" s="8">
        <v>72.34</v>
      </c>
      <c r="K93" s="8">
        <v>4.34</v>
      </c>
    </row>
    <row r="94" spans="1:11" ht="15.5" x14ac:dyDescent="0.35">
      <c r="A94" s="7" t="s">
        <v>103</v>
      </c>
      <c r="B94" s="8">
        <v>76.77</v>
      </c>
      <c r="C94" s="8">
        <v>8.69</v>
      </c>
      <c r="D94" s="8">
        <v>15259.9</v>
      </c>
      <c r="E94" s="8">
        <v>9.32</v>
      </c>
      <c r="F94" s="8">
        <v>89.99</v>
      </c>
      <c r="G94" s="8">
        <v>12.28</v>
      </c>
      <c r="H94" s="8">
        <v>4.5</v>
      </c>
      <c r="I94" s="8">
        <v>95.05</v>
      </c>
      <c r="J94" s="8">
        <v>77.040000000000006</v>
      </c>
      <c r="K94" s="8">
        <v>3.28</v>
      </c>
    </row>
    <row r="95" spans="1:11" ht="15.5" x14ac:dyDescent="0.35">
      <c r="A95" s="7" t="s">
        <v>104</v>
      </c>
      <c r="B95" s="8">
        <v>73.91</v>
      </c>
      <c r="C95" s="8">
        <v>7.84</v>
      </c>
      <c r="D95" s="8">
        <v>15596</v>
      </c>
      <c r="E95" s="8">
        <v>13.81</v>
      </c>
      <c r="F95" s="8">
        <v>82.99</v>
      </c>
      <c r="G95" s="8">
        <v>10.11</v>
      </c>
      <c r="H95" s="8">
        <v>6.09</v>
      </c>
      <c r="I95" s="8">
        <v>93.79</v>
      </c>
      <c r="J95" s="8">
        <v>75.73</v>
      </c>
      <c r="K95" s="8">
        <v>2.4</v>
      </c>
    </row>
    <row r="96" spans="1:11" ht="15.5" x14ac:dyDescent="0.35">
      <c r="A96" s="7" t="s">
        <v>105</v>
      </c>
      <c r="B96" s="8">
        <v>72.75</v>
      </c>
      <c r="C96" s="8">
        <v>7.59</v>
      </c>
      <c r="D96" s="8">
        <v>64367.4</v>
      </c>
      <c r="E96" s="8">
        <v>11.69</v>
      </c>
      <c r="F96" s="8">
        <v>96.43</v>
      </c>
      <c r="G96" s="8">
        <v>6.95</v>
      </c>
      <c r="H96" s="8">
        <v>8.7200000000000006</v>
      </c>
      <c r="I96" s="8">
        <v>92.22</v>
      </c>
      <c r="J96" s="8">
        <v>73.86</v>
      </c>
      <c r="K96" s="8">
        <v>4.42</v>
      </c>
    </row>
    <row r="97" spans="1:11" ht="15.5" x14ac:dyDescent="0.35">
      <c r="A97" s="7" t="s">
        <v>106</v>
      </c>
      <c r="B97" s="8">
        <v>72.31</v>
      </c>
      <c r="C97" s="8">
        <v>7.53</v>
      </c>
      <c r="D97" s="8">
        <v>51913.4</v>
      </c>
      <c r="E97" s="8">
        <v>14.36</v>
      </c>
      <c r="F97" s="8">
        <v>85.12</v>
      </c>
      <c r="G97" s="8">
        <v>30.21</v>
      </c>
      <c r="H97" s="8">
        <v>1.83</v>
      </c>
      <c r="I97" s="8">
        <v>89.59</v>
      </c>
      <c r="J97" s="8">
        <v>74.55</v>
      </c>
      <c r="K97" s="8">
        <v>4.28</v>
      </c>
    </row>
    <row r="98" spans="1:11" ht="15.5" x14ac:dyDescent="0.35">
      <c r="A98" s="7" t="s">
        <v>107</v>
      </c>
      <c r="B98" s="8">
        <v>75.900000000000006</v>
      </c>
      <c r="C98" s="8">
        <v>8.48</v>
      </c>
      <c r="D98" s="8">
        <v>32186</v>
      </c>
      <c r="E98" s="8">
        <v>12.16</v>
      </c>
      <c r="F98" s="8">
        <v>95.88</v>
      </c>
      <c r="G98" s="8">
        <v>12.23</v>
      </c>
      <c r="H98" s="8">
        <v>7.66</v>
      </c>
      <c r="I98" s="8">
        <v>90.7</v>
      </c>
      <c r="J98" s="8">
        <v>74.8</v>
      </c>
      <c r="K98" s="8">
        <v>4.34</v>
      </c>
    </row>
    <row r="99" spans="1:11" ht="15.5" x14ac:dyDescent="0.35">
      <c r="A99" s="7" t="s">
        <v>108</v>
      </c>
      <c r="B99" s="8">
        <v>78.930000000000007</v>
      </c>
      <c r="C99" s="8">
        <v>10.029999999999999</v>
      </c>
      <c r="D99" s="8">
        <v>119274.4</v>
      </c>
      <c r="E99" s="8">
        <v>10.32</v>
      </c>
      <c r="F99" s="8">
        <v>93.22</v>
      </c>
      <c r="G99" s="8">
        <v>51.25</v>
      </c>
      <c r="H99" s="8">
        <v>6.32</v>
      </c>
      <c r="I99" s="8">
        <v>91.63</v>
      </c>
      <c r="J99" s="8">
        <v>71.61</v>
      </c>
      <c r="K99" s="8">
        <v>6.45</v>
      </c>
    </row>
    <row r="100" spans="1:11" ht="15.5" x14ac:dyDescent="0.35">
      <c r="A100" s="7" t="s">
        <v>109</v>
      </c>
      <c r="B100" s="8">
        <v>67.33</v>
      </c>
      <c r="C100" s="8">
        <v>6.01</v>
      </c>
      <c r="D100" s="8">
        <v>17497.5</v>
      </c>
      <c r="E100" s="8">
        <v>18.66</v>
      </c>
      <c r="F100" s="8">
        <v>50.31</v>
      </c>
      <c r="G100" s="8">
        <v>3.04</v>
      </c>
      <c r="H100" s="8">
        <v>9.15</v>
      </c>
      <c r="I100" s="8">
        <v>88.09</v>
      </c>
      <c r="J100" s="8">
        <v>70.48</v>
      </c>
      <c r="K100" s="8">
        <v>5.35</v>
      </c>
    </row>
    <row r="101" spans="1:11" ht="15.5" x14ac:dyDescent="0.35">
      <c r="A101" s="7" t="s">
        <v>110</v>
      </c>
      <c r="B101" s="8">
        <v>66.72</v>
      </c>
      <c r="C101" s="8">
        <v>5.08</v>
      </c>
      <c r="D101" s="8">
        <v>14925.3</v>
      </c>
      <c r="E101" s="8">
        <v>20.83</v>
      </c>
      <c r="F101" s="8">
        <v>87.24</v>
      </c>
      <c r="G101" s="8">
        <v>4.18</v>
      </c>
      <c r="H101" s="8">
        <v>7.54</v>
      </c>
      <c r="I101" s="8">
        <v>87.52</v>
      </c>
      <c r="J101" s="8">
        <v>73.62</v>
      </c>
      <c r="K101" s="8">
        <v>2.5</v>
      </c>
    </row>
    <row r="102" spans="1:11" ht="15.5" x14ac:dyDescent="0.35">
      <c r="A102" s="7" t="s">
        <v>111</v>
      </c>
      <c r="B102" s="8">
        <v>70.849999999999994</v>
      </c>
      <c r="C102" s="8">
        <v>7.17</v>
      </c>
      <c r="D102" s="8">
        <v>13245.3</v>
      </c>
      <c r="E102" s="8">
        <v>13.41</v>
      </c>
      <c r="F102" s="8">
        <v>72.94</v>
      </c>
      <c r="G102" s="8">
        <v>7.74</v>
      </c>
      <c r="H102" s="8">
        <v>6.32</v>
      </c>
      <c r="I102" s="8">
        <v>87.6</v>
      </c>
      <c r="J102" s="8">
        <v>79.13</v>
      </c>
      <c r="K102" s="8">
        <v>1.64</v>
      </c>
    </row>
    <row r="103" spans="1:11" ht="15.5" x14ac:dyDescent="0.35">
      <c r="A103" s="7" t="s">
        <v>112</v>
      </c>
      <c r="B103" s="8">
        <v>69.78</v>
      </c>
      <c r="C103" s="8">
        <v>6.1</v>
      </c>
      <c r="D103" s="8">
        <v>27234.400000000001</v>
      </c>
      <c r="E103" s="8">
        <v>17.78</v>
      </c>
      <c r="F103" s="8">
        <v>73.31</v>
      </c>
      <c r="G103" s="8">
        <v>6.73</v>
      </c>
      <c r="H103" s="8">
        <v>8.26</v>
      </c>
      <c r="I103" s="8">
        <v>83.03</v>
      </c>
      <c r="J103" s="8">
        <v>78.16</v>
      </c>
      <c r="K103" s="8">
        <v>1.69</v>
      </c>
    </row>
    <row r="104" spans="1:11" ht="15.5" x14ac:dyDescent="0.35">
      <c r="A104" s="7" t="s">
        <v>113</v>
      </c>
      <c r="B104" s="8">
        <v>81.88</v>
      </c>
      <c r="C104" s="8">
        <v>10.92</v>
      </c>
      <c r="D104" s="8">
        <v>94774.1</v>
      </c>
      <c r="E104" s="8">
        <v>6.51</v>
      </c>
      <c r="F104" s="8">
        <v>95.39</v>
      </c>
      <c r="G104" s="8">
        <v>79.64</v>
      </c>
      <c r="H104" s="8">
        <v>2.94</v>
      </c>
      <c r="I104" s="8">
        <v>95.99</v>
      </c>
      <c r="J104" s="8">
        <v>70.739999999999995</v>
      </c>
      <c r="K104" s="8">
        <v>3.91</v>
      </c>
    </row>
    <row r="105" spans="1:11" ht="15.5" x14ac:dyDescent="0.35">
      <c r="A105" s="7" t="s">
        <v>114</v>
      </c>
      <c r="B105" s="8">
        <v>81.44</v>
      </c>
      <c r="C105" s="8">
        <v>10.82</v>
      </c>
      <c r="D105" s="8">
        <v>5746.4</v>
      </c>
      <c r="E105" s="8">
        <v>6.75</v>
      </c>
      <c r="F105" s="8">
        <v>95.93</v>
      </c>
      <c r="G105" s="8">
        <v>9.9</v>
      </c>
      <c r="H105" s="8">
        <v>5.1100000000000003</v>
      </c>
      <c r="I105" s="8">
        <v>98.03</v>
      </c>
      <c r="J105" s="8">
        <v>70.44</v>
      </c>
      <c r="K105" s="8">
        <v>5.1100000000000003</v>
      </c>
    </row>
    <row r="106" spans="1:11" ht="15.5" x14ac:dyDescent="0.35">
      <c r="A106" s="7" t="s">
        <v>115</v>
      </c>
      <c r="B106" s="8">
        <v>84.68</v>
      </c>
      <c r="C106" s="8">
        <v>11.14</v>
      </c>
      <c r="D106" s="8">
        <v>63373.3</v>
      </c>
      <c r="E106" s="8">
        <v>3.91</v>
      </c>
      <c r="F106" s="8">
        <v>87.84</v>
      </c>
      <c r="G106" s="8">
        <v>27.09</v>
      </c>
      <c r="H106" s="8">
        <v>5.13</v>
      </c>
      <c r="I106" s="8">
        <v>97.02</v>
      </c>
      <c r="J106" s="8">
        <v>67.52</v>
      </c>
      <c r="K106" s="8">
        <v>6.1</v>
      </c>
    </row>
    <row r="107" spans="1:11" ht="15.5" x14ac:dyDescent="0.35">
      <c r="A107" s="7" t="s">
        <v>116</v>
      </c>
      <c r="B107" s="8">
        <v>77.790000000000006</v>
      </c>
      <c r="C107" s="8">
        <v>9.7200000000000006</v>
      </c>
      <c r="D107" s="8">
        <v>9893.2999999999993</v>
      </c>
      <c r="E107" s="8">
        <v>6.18</v>
      </c>
      <c r="F107" s="8">
        <v>91.59</v>
      </c>
      <c r="G107" s="8">
        <v>14.63</v>
      </c>
      <c r="H107" s="8">
        <v>3.92</v>
      </c>
      <c r="I107" s="8">
        <v>97.26</v>
      </c>
      <c r="J107" s="8">
        <v>67.55</v>
      </c>
      <c r="K107" s="8">
        <v>4.4400000000000004</v>
      </c>
    </row>
    <row r="108" spans="1:11" ht="15.5" x14ac:dyDescent="0.35">
      <c r="A108" s="7" t="s">
        <v>117</v>
      </c>
      <c r="B108" s="8">
        <v>78.900000000000006</v>
      </c>
      <c r="C108" s="8">
        <v>9.94</v>
      </c>
      <c r="D108" s="8">
        <v>6998.7</v>
      </c>
      <c r="E108" s="8">
        <v>6.32</v>
      </c>
      <c r="F108" s="8">
        <v>95.52</v>
      </c>
      <c r="G108" s="8">
        <v>19.809999999999999</v>
      </c>
      <c r="H108" s="8">
        <v>3.52</v>
      </c>
      <c r="I108" s="8">
        <v>97.82</v>
      </c>
      <c r="J108" s="8">
        <v>72.72</v>
      </c>
      <c r="K108" s="8">
        <v>4.63</v>
      </c>
    </row>
    <row r="109" spans="1:11" ht="15.5" x14ac:dyDescent="0.35">
      <c r="A109" s="7" t="s">
        <v>118</v>
      </c>
      <c r="B109" s="8">
        <v>81.760000000000005</v>
      </c>
      <c r="C109" s="8">
        <v>11.38</v>
      </c>
      <c r="D109" s="8">
        <v>5686.8</v>
      </c>
      <c r="E109" s="8">
        <v>5.57</v>
      </c>
      <c r="F109" s="8">
        <v>98.56</v>
      </c>
      <c r="G109" s="8">
        <v>9.34</v>
      </c>
      <c r="H109" s="8">
        <v>3.44</v>
      </c>
      <c r="I109" s="8">
        <v>95.2</v>
      </c>
      <c r="J109" s="8">
        <v>72.680000000000007</v>
      </c>
      <c r="K109" s="8">
        <v>3.76</v>
      </c>
    </row>
    <row r="110" spans="1:11" ht="15.5" x14ac:dyDescent="0.35">
      <c r="A110" s="7" t="s">
        <v>119</v>
      </c>
      <c r="B110" s="8">
        <v>84.51</v>
      </c>
      <c r="C110" s="8">
        <v>12.11</v>
      </c>
      <c r="D110" s="8">
        <v>12438.9</v>
      </c>
      <c r="E110" s="8">
        <v>4.38</v>
      </c>
      <c r="F110" s="8">
        <v>95.19</v>
      </c>
      <c r="G110" s="8">
        <v>13.63</v>
      </c>
      <c r="H110" s="8">
        <v>6.36</v>
      </c>
      <c r="I110" s="8">
        <v>95.92</v>
      </c>
      <c r="J110" s="8">
        <v>70.599999999999994</v>
      </c>
      <c r="K110" s="8">
        <v>4.3</v>
      </c>
    </row>
    <row r="111" spans="1:11" ht="15.5" x14ac:dyDescent="0.35">
      <c r="A111" s="7" t="s">
        <v>120</v>
      </c>
      <c r="B111" s="8">
        <v>84.69</v>
      </c>
      <c r="C111" s="8">
        <v>10.89</v>
      </c>
      <c r="D111" s="8">
        <v>485448.9</v>
      </c>
      <c r="E111" s="8">
        <v>3.96</v>
      </c>
      <c r="F111" s="8">
        <v>97.69</v>
      </c>
      <c r="G111" s="8">
        <v>19.07</v>
      </c>
      <c r="H111" s="8">
        <v>5.48</v>
      </c>
      <c r="I111" s="8">
        <v>95.75</v>
      </c>
      <c r="J111" s="8">
        <v>70.489999999999995</v>
      </c>
      <c r="K111" s="8">
        <v>4.91</v>
      </c>
    </row>
    <row r="112" spans="1:11" ht="15.5" x14ac:dyDescent="0.35">
      <c r="A112" s="7" t="s">
        <v>121</v>
      </c>
      <c r="B112" s="8">
        <v>79.69</v>
      </c>
      <c r="C112" s="8">
        <v>9.8699999999999992</v>
      </c>
      <c r="D112" s="8">
        <v>13588.1</v>
      </c>
      <c r="E112" s="8">
        <v>3.06</v>
      </c>
      <c r="F112" s="8">
        <v>96.39</v>
      </c>
      <c r="G112" s="8">
        <v>6.29</v>
      </c>
      <c r="H112" s="8">
        <v>8.6</v>
      </c>
      <c r="I112" s="8">
        <v>91.5</v>
      </c>
      <c r="J112" s="8">
        <v>73.53</v>
      </c>
      <c r="K112" s="8">
        <v>3.63</v>
      </c>
    </row>
    <row r="113" spans="1:11" ht="15.5" x14ac:dyDescent="0.35">
      <c r="A113" s="7" t="s">
        <v>122</v>
      </c>
      <c r="B113" s="8">
        <v>70.88</v>
      </c>
      <c r="C113" s="8">
        <v>7.16</v>
      </c>
      <c r="D113" s="8">
        <v>21928.59</v>
      </c>
      <c r="E113" s="8">
        <v>9.18</v>
      </c>
      <c r="F113" s="8">
        <v>63.66</v>
      </c>
      <c r="G113" s="8">
        <v>7.19</v>
      </c>
      <c r="H113" s="8">
        <v>6.67</v>
      </c>
      <c r="I113" s="8">
        <v>87.93</v>
      </c>
      <c r="J113" s="8">
        <v>66.92</v>
      </c>
      <c r="K113" s="8">
        <v>8.09</v>
      </c>
    </row>
    <row r="114" spans="1:11" ht="15.5" x14ac:dyDescent="0.35">
      <c r="A114" s="7" t="s">
        <v>123</v>
      </c>
      <c r="B114" s="8">
        <v>68.33</v>
      </c>
      <c r="C114" s="8">
        <v>6.61</v>
      </c>
      <c r="D114" s="8">
        <v>23377.24</v>
      </c>
      <c r="E114" s="8">
        <v>8.44</v>
      </c>
      <c r="F114" s="8">
        <v>70.23</v>
      </c>
      <c r="G114" s="8">
        <v>9.5399999999999991</v>
      </c>
      <c r="H114" s="8">
        <v>5.81</v>
      </c>
      <c r="I114" s="8">
        <v>81.69</v>
      </c>
      <c r="J114" s="8">
        <v>72.819999999999993</v>
      </c>
      <c r="K114" s="8">
        <v>6.23</v>
      </c>
    </row>
    <row r="115" spans="1:11" ht="15.5" x14ac:dyDescent="0.35">
      <c r="A115" s="7" t="s">
        <v>124</v>
      </c>
      <c r="B115" s="8">
        <v>76.19</v>
      </c>
      <c r="C115" s="8">
        <v>9.06</v>
      </c>
      <c r="D115" s="8">
        <v>113998.2</v>
      </c>
      <c r="E115" s="8">
        <v>6.55</v>
      </c>
      <c r="F115" s="8">
        <v>89.38</v>
      </c>
      <c r="G115" s="8">
        <v>33.74</v>
      </c>
      <c r="H115" s="8">
        <v>4.6100000000000003</v>
      </c>
      <c r="I115" s="8">
        <v>92.63</v>
      </c>
      <c r="J115" s="8">
        <v>65.88</v>
      </c>
      <c r="K115" s="8">
        <v>6.06</v>
      </c>
    </row>
    <row r="116" spans="1:11" ht="15.5" x14ac:dyDescent="0.35">
      <c r="A116" s="7" t="s">
        <v>125</v>
      </c>
      <c r="B116" s="8">
        <v>73.28</v>
      </c>
      <c r="C116" s="8">
        <v>7.88</v>
      </c>
      <c r="D116" s="8">
        <v>63255.33</v>
      </c>
      <c r="E116" s="8">
        <v>4.51</v>
      </c>
      <c r="F116" s="8">
        <v>85.31</v>
      </c>
      <c r="G116" s="8">
        <v>46.69</v>
      </c>
      <c r="H116" s="8">
        <v>5.65</v>
      </c>
      <c r="I116" s="8">
        <v>93.52</v>
      </c>
      <c r="J116" s="8">
        <v>67.77</v>
      </c>
      <c r="K116" s="8">
        <v>9.18</v>
      </c>
    </row>
    <row r="117" spans="1:11" ht="15.5" x14ac:dyDescent="0.35">
      <c r="A117" s="7" t="s">
        <v>126</v>
      </c>
      <c r="B117" s="8">
        <v>81.53</v>
      </c>
      <c r="C117" s="8">
        <v>11.14</v>
      </c>
      <c r="D117" s="8">
        <v>125060.3</v>
      </c>
      <c r="E117" s="8">
        <v>5.43</v>
      </c>
      <c r="F117" s="8">
        <v>96.93</v>
      </c>
      <c r="G117" s="8">
        <v>26.98</v>
      </c>
      <c r="H117" s="8">
        <v>4.03</v>
      </c>
      <c r="I117" s="8">
        <v>95.91</v>
      </c>
      <c r="J117" s="8">
        <v>66.02</v>
      </c>
      <c r="K117" s="8">
        <v>5.92</v>
      </c>
    </row>
    <row r="118" spans="1:11" ht="15.5" x14ac:dyDescent="0.35">
      <c r="A118" s="7" t="s">
        <v>127</v>
      </c>
      <c r="B118" s="8">
        <v>78.83</v>
      </c>
      <c r="C118" s="8">
        <v>10.39</v>
      </c>
      <c r="D118" s="8">
        <v>88628.11</v>
      </c>
      <c r="E118" s="8">
        <v>3.75</v>
      </c>
      <c r="F118" s="8">
        <v>97.1</v>
      </c>
      <c r="G118" s="8">
        <v>56.16</v>
      </c>
      <c r="H118" s="8">
        <v>5.05</v>
      </c>
      <c r="I118" s="8">
        <v>89.17</v>
      </c>
      <c r="J118" s="8">
        <v>60.83</v>
      </c>
      <c r="K118" s="8">
        <v>6.08</v>
      </c>
    </row>
    <row r="119" spans="1:11" ht="15.5" x14ac:dyDescent="0.35">
      <c r="A119" s="7" t="s">
        <v>128</v>
      </c>
      <c r="B119" s="8">
        <v>76.900000000000006</v>
      </c>
      <c r="C119" s="8">
        <v>8.93</v>
      </c>
      <c r="D119" s="8">
        <v>26863.08</v>
      </c>
      <c r="E119" s="8">
        <v>5.65</v>
      </c>
      <c r="F119" s="8">
        <v>92.71</v>
      </c>
      <c r="G119" s="8">
        <v>4.6100000000000003</v>
      </c>
      <c r="H119" s="8">
        <v>6.45</v>
      </c>
      <c r="I119" s="8">
        <v>93.59</v>
      </c>
      <c r="J119" s="8">
        <v>69.099999999999994</v>
      </c>
      <c r="K119" s="8">
        <v>7.12</v>
      </c>
    </row>
    <row r="120" spans="1:11" ht="15.5" x14ac:dyDescent="0.35">
      <c r="A120" s="7" t="s">
        <v>129</v>
      </c>
      <c r="B120" s="8">
        <v>84.16</v>
      </c>
      <c r="C120" s="8">
        <v>11.86</v>
      </c>
      <c r="D120" s="8">
        <v>73052.84</v>
      </c>
      <c r="E120" s="8">
        <v>2.36</v>
      </c>
      <c r="F120" s="8">
        <v>99.34</v>
      </c>
      <c r="G120" s="8">
        <v>8.09</v>
      </c>
      <c r="H120" s="8">
        <v>7.96</v>
      </c>
      <c r="I120" s="8">
        <v>95.29</v>
      </c>
      <c r="J120" s="8">
        <v>58.13</v>
      </c>
      <c r="K120" s="8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A38A-25CF-4CBB-B3FE-55720E4A0A86}">
  <dimension ref="A1:M126"/>
  <sheetViews>
    <sheetView tabSelected="1" topLeftCell="B112" zoomScale="85" zoomScaleNormal="85" workbookViewId="0">
      <selection activeCell="H23" sqref="H23"/>
    </sheetView>
  </sheetViews>
  <sheetFormatPr defaultRowHeight="14.5" x14ac:dyDescent="0.35"/>
  <cols>
    <col min="1" max="1" width="22.453125" customWidth="1"/>
    <col min="2" max="2" width="34.08984375" customWidth="1"/>
    <col min="3" max="3" width="30.08984375" customWidth="1"/>
    <col min="6" max="6" width="31.54296875" customWidth="1"/>
    <col min="7" max="7" width="17.90625" customWidth="1"/>
    <col min="10" max="10" width="26.36328125" customWidth="1"/>
    <col min="11" max="11" width="21.7265625" customWidth="1"/>
    <col min="12" max="12" width="20.453125" customWidth="1"/>
    <col min="13" max="13" width="32.7265625" customWidth="1"/>
  </cols>
  <sheetData>
    <row r="1" spans="1:13" ht="15.5" x14ac:dyDescent="0.35">
      <c r="A1" s="1" t="s">
        <v>0</v>
      </c>
      <c r="B1" s="12" t="s">
        <v>130</v>
      </c>
      <c r="C1" s="13" t="s">
        <v>131</v>
      </c>
      <c r="E1" s="14" t="s">
        <v>132</v>
      </c>
      <c r="F1" s="15" t="s">
        <v>1</v>
      </c>
      <c r="G1" s="14" t="s">
        <v>134</v>
      </c>
      <c r="H1" s="11"/>
      <c r="I1" s="19" t="s">
        <v>133</v>
      </c>
      <c r="J1" s="20" t="s">
        <v>2</v>
      </c>
      <c r="K1" s="19" t="s">
        <v>135</v>
      </c>
      <c r="L1" s="19" t="s">
        <v>136</v>
      </c>
      <c r="M1" s="19" t="s">
        <v>137</v>
      </c>
    </row>
    <row r="2" spans="1:13" ht="15.5" x14ac:dyDescent="0.35">
      <c r="A2" s="7" t="s">
        <v>11</v>
      </c>
      <c r="B2" s="8">
        <v>76.69</v>
      </c>
      <c r="C2" s="8">
        <v>9.26</v>
      </c>
      <c r="E2" s="16">
        <v>75.746134453781551</v>
      </c>
      <c r="F2" s="16">
        <v>76.69</v>
      </c>
      <c r="G2" s="16">
        <f>F2-E2</f>
        <v>0.94386554621844709</v>
      </c>
      <c r="H2" s="11"/>
      <c r="I2" s="16">
        <v>8.8323529411764667</v>
      </c>
      <c r="J2" s="16">
        <v>9.26</v>
      </c>
      <c r="K2" s="16">
        <f>J2-I2</f>
        <v>0.42764705882353304</v>
      </c>
      <c r="L2" s="16">
        <f>K2^2</f>
        <v>0.18288200692041834</v>
      </c>
      <c r="M2" s="16">
        <f>G2*K2</f>
        <v>0.40364132476518638</v>
      </c>
    </row>
    <row r="3" spans="1:13" ht="15.5" x14ac:dyDescent="0.35">
      <c r="A3" s="7" t="s">
        <v>12</v>
      </c>
      <c r="B3" s="8">
        <v>87.57</v>
      </c>
      <c r="C3" s="8">
        <v>11.95</v>
      </c>
      <c r="E3" s="16">
        <v>75.746134453781551</v>
      </c>
      <c r="F3" s="16">
        <v>87.57</v>
      </c>
      <c r="G3" s="16">
        <f t="shared" ref="G3:G67" si="0">F3-E3</f>
        <v>11.823865546218443</v>
      </c>
      <c r="H3" s="11"/>
      <c r="I3" s="16">
        <v>8.8323529411764667</v>
      </c>
      <c r="J3" s="16">
        <v>11.95</v>
      </c>
      <c r="K3" s="16">
        <f t="shared" ref="K3:K66" si="1">J3-I3</f>
        <v>3.1176470588235325</v>
      </c>
      <c r="L3" s="16">
        <f t="shared" ref="L3:L66" si="2">K3^2</f>
        <v>9.7197231833910234</v>
      </c>
      <c r="M3" s="16">
        <f t="shared" ref="M3:M66" si="3">G3*K3</f>
        <v>36.86263964409283</v>
      </c>
    </row>
    <row r="4" spans="1:13" ht="15.5" x14ac:dyDescent="0.35">
      <c r="A4" s="7" t="s">
        <v>13</v>
      </c>
      <c r="B4" s="8">
        <v>84.76</v>
      </c>
      <c r="C4" s="8">
        <v>11.99</v>
      </c>
      <c r="E4" s="16">
        <v>75.746134453781551</v>
      </c>
      <c r="F4" s="16">
        <v>84.76</v>
      </c>
      <c r="G4" s="16">
        <f t="shared" si="0"/>
        <v>9.0138655462184545</v>
      </c>
      <c r="H4" s="11"/>
      <c r="I4" s="16">
        <v>8.8323529411764667</v>
      </c>
      <c r="J4" s="16">
        <v>11.99</v>
      </c>
      <c r="K4" s="16">
        <f t="shared" si="1"/>
        <v>3.1576470588235335</v>
      </c>
      <c r="L4" s="16">
        <f t="shared" si="2"/>
        <v>9.9707349480969114</v>
      </c>
      <c r="M4" s="16">
        <f t="shared" si="3"/>
        <v>28.462606030647486</v>
      </c>
    </row>
    <row r="5" spans="1:13" ht="15.5" x14ac:dyDescent="0.35">
      <c r="A5" s="7" t="s">
        <v>14</v>
      </c>
      <c r="B5" s="8">
        <v>83.75</v>
      </c>
      <c r="C5" s="8">
        <v>11.61</v>
      </c>
      <c r="E5" s="16">
        <v>75.746134453781551</v>
      </c>
      <c r="F5" s="16">
        <v>83.75</v>
      </c>
      <c r="G5" s="16">
        <f t="shared" si="0"/>
        <v>8.0038655462184494</v>
      </c>
      <c r="H5" s="11"/>
      <c r="I5" s="16">
        <v>8.8323529411764667</v>
      </c>
      <c r="J5" s="16">
        <v>11.61</v>
      </c>
      <c r="K5" s="16">
        <f t="shared" si="1"/>
        <v>2.7776470588235327</v>
      </c>
      <c r="L5" s="16">
        <f t="shared" si="2"/>
        <v>7.7153231833910221</v>
      </c>
      <c r="M5" s="16">
        <f t="shared" si="3"/>
        <v>22.231913593672683</v>
      </c>
    </row>
    <row r="6" spans="1:13" ht="15.5" x14ac:dyDescent="0.35">
      <c r="A6" s="7" t="s">
        <v>15</v>
      </c>
      <c r="B6" s="8">
        <v>84.4</v>
      </c>
      <c r="C6" s="8">
        <v>11.24</v>
      </c>
      <c r="E6" s="16">
        <v>75.746134453781551</v>
      </c>
      <c r="F6" s="16">
        <v>84.4</v>
      </c>
      <c r="G6" s="16">
        <f t="shared" si="0"/>
        <v>8.6538655462184551</v>
      </c>
      <c r="H6" s="11"/>
      <c r="I6" s="16">
        <v>8.8323529411764667</v>
      </c>
      <c r="J6" s="16">
        <v>11.24</v>
      </c>
      <c r="K6" s="16">
        <f t="shared" si="1"/>
        <v>2.4076470588235335</v>
      </c>
      <c r="L6" s="16">
        <f t="shared" si="2"/>
        <v>5.7967643598616112</v>
      </c>
      <c r="M6" s="16">
        <f t="shared" si="3"/>
        <v>20.835453929807173</v>
      </c>
    </row>
    <row r="7" spans="1:13" ht="15.5" x14ac:dyDescent="0.35">
      <c r="A7" s="7" t="s">
        <v>16</v>
      </c>
      <c r="B7" s="8">
        <v>82.13</v>
      </c>
      <c r="C7" s="8">
        <v>10.85</v>
      </c>
      <c r="E7" s="16">
        <v>75.746134453781551</v>
      </c>
      <c r="F7" s="16">
        <v>82.13</v>
      </c>
      <c r="G7" s="16">
        <f t="shared" si="0"/>
        <v>6.3838655462184448</v>
      </c>
      <c r="H7" s="11"/>
      <c r="I7" s="16">
        <v>8.8323529411764667</v>
      </c>
      <c r="J7" s="16">
        <v>10.85</v>
      </c>
      <c r="K7" s="16">
        <f t="shared" si="1"/>
        <v>2.0176470588235329</v>
      </c>
      <c r="L7" s="16">
        <f t="shared" si="2"/>
        <v>4.0708996539792528</v>
      </c>
      <c r="M7" s="16">
        <f t="shared" si="3"/>
        <v>12.880387543252532</v>
      </c>
    </row>
    <row r="8" spans="1:13" ht="15.5" x14ac:dyDescent="0.35">
      <c r="A8" s="7" t="s">
        <v>17</v>
      </c>
      <c r="B8" s="8">
        <v>73.63</v>
      </c>
      <c r="C8" s="8">
        <v>8.89</v>
      </c>
      <c r="E8" s="16">
        <v>75.746134453781551</v>
      </c>
      <c r="F8" s="16">
        <v>73.63</v>
      </c>
      <c r="G8" s="16">
        <f t="shared" si="0"/>
        <v>-2.1161344537815552</v>
      </c>
      <c r="H8" s="11"/>
      <c r="I8" s="16">
        <v>8.8323529411764667</v>
      </c>
      <c r="J8" s="16">
        <v>8.89</v>
      </c>
      <c r="K8" s="16">
        <f t="shared" si="1"/>
        <v>5.7647058823533825E-2</v>
      </c>
      <c r="L8" s="16">
        <f t="shared" si="2"/>
        <v>3.3231833910039692E-3</v>
      </c>
      <c r="M8" s="16">
        <f t="shared" si="3"/>
        <v>-0.12198892733565193</v>
      </c>
    </row>
    <row r="9" spans="1:13" ht="15.5" x14ac:dyDescent="0.35">
      <c r="A9" s="7" t="s">
        <v>18</v>
      </c>
      <c r="B9" s="8">
        <v>70.180000000000007</v>
      </c>
      <c r="C9" s="8">
        <v>7.75</v>
      </c>
      <c r="E9" s="16">
        <v>75.746134453781551</v>
      </c>
      <c r="F9" s="16">
        <v>70.180000000000007</v>
      </c>
      <c r="G9" s="16">
        <f t="shared" si="0"/>
        <v>-5.5661344537815438</v>
      </c>
      <c r="H9" s="11"/>
      <c r="I9" s="16">
        <v>8.8323529411764667</v>
      </c>
      <c r="J9" s="16">
        <v>7.75</v>
      </c>
      <c r="K9" s="16">
        <f t="shared" si="1"/>
        <v>-1.0823529411764667</v>
      </c>
      <c r="L9" s="16">
        <f t="shared" si="2"/>
        <v>1.171487889273348</v>
      </c>
      <c r="M9" s="16">
        <f t="shared" si="3"/>
        <v>6.0245219970341202</v>
      </c>
    </row>
    <row r="10" spans="1:13" ht="15.5" x14ac:dyDescent="0.35">
      <c r="A10" s="7" t="s">
        <v>19</v>
      </c>
      <c r="B10" s="8">
        <v>68.89</v>
      </c>
      <c r="C10" s="8">
        <v>7.91</v>
      </c>
      <c r="E10" s="16">
        <v>75.746134453781551</v>
      </c>
      <c r="F10" s="16">
        <v>68.89</v>
      </c>
      <c r="G10" s="16">
        <f t="shared" si="0"/>
        <v>-6.8561344537815501</v>
      </c>
      <c r="H10" s="11"/>
      <c r="I10" s="16">
        <v>8.8323529411764667</v>
      </c>
      <c r="J10" s="16">
        <v>7.91</v>
      </c>
      <c r="K10" s="16">
        <f t="shared" si="1"/>
        <v>-0.9223529411764666</v>
      </c>
      <c r="L10" s="16">
        <f t="shared" si="2"/>
        <v>0.85073494809687844</v>
      </c>
      <c r="M10" s="16">
        <f t="shared" si="3"/>
        <v>6.3237757785467199</v>
      </c>
    </row>
    <row r="11" spans="1:13" ht="15.5" x14ac:dyDescent="0.35">
      <c r="A11" s="7" t="s">
        <v>20</v>
      </c>
      <c r="B11" s="8">
        <v>74.59</v>
      </c>
      <c r="C11" s="8">
        <v>9.4499999999999993</v>
      </c>
      <c r="E11" s="16">
        <v>75.746134453781551</v>
      </c>
      <c r="F11" s="16">
        <v>74.59</v>
      </c>
      <c r="G11" s="16">
        <f t="shared" si="0"/>
        <v>-1.1561344537815472</v>
      </c>
      <c r="H11" s="11"/>
      <c r="I11" s="16">
        <v>8.8323529411764667</v>
      </c>
      <c r="J11" s="16">
        <v>9.4499999999999993</v>
      </c>
      <c r="K11" s="16">
        <f t="shared" si="1"/>
        <v>0.61764705882353255</v>
      </c>
      <c r="L11" s="16">
        <f t="shared" si="2"/>
        <v>0.38148788927336025</v>
      </c>
      <c r="M11" s="16">
        <f t="shared" si="3"/>
        <v>-0.71408304498272401</v>
      </c>
    </row>
    <row r="12" spans="1:13" ht="15.5" x14ac:dyDescent="0.35">
      <c r="A12" s="7" t="s">
        <v>21</v>
      </c>
      <c r="B12" s="8">
        <v>69.91</v>
      </c>
      <c r="C12" s="8">
        <v>8.31</v>
      </c>
      <c r="E12" s="16">
        <v>75.746134453781551</v>
      </c>
      <c r="F12" s="16">
        <v>69.91</v>
      </c>
      <c r="G12" s="16">
        <f t="shared" si="0"/>
        <v>-5.836134453781554</v>
      </c>
      <c r="H12" s="11"/>
      <c r="I12" s="16">
        <v>8.8323529411764667</v>
      </c>
      <c r="J12" s="16">
        <v>8.31</v>
      </c>
      <c r="K12" s="16">
        <f t="shared" si="1"/>
        <v>-0.52235294117646625</v>
      </c>
      <c r="L12" s="16">
        <f t="shared" si="2"/>
        <v>0.27285259515570481</v>
      </c>
      <c r="M12" s="16">
        <f t="shared" si="3"/>
        <v>3.0485219970341042</v>
      </c>
    </row>
    <row r="13" spans="1:13" ht="15.5" x14ac:dyDescent="0.35">
      <c r="A13" s="7" t="s">
        <v>22</v>
      </c>
      <c r="B13" s="8">
        <v>69.98</v>
      </c>
      <c r="C13" s="8">
        <v>8.32</v>
      </c>
      <c r="E13" s="16">
        <v>75.746134453781551</v>
      </c>
      <c r="F13" s="16">
        <v>69.98</v>
      </c>
      <c r="G13" s="16">
        <f t="shared" si="0"/>
        <v>-5.7661344537815467</v>
      </c>
      <c r="H13" s="11"/>
      <c r="I13" s="16">
        <v>8.8323529411764667</v>
      </c>
      <c r="J13" s="16">
        <v>8.32</v>
      </c>
      <c r="K13" s="16">
        <f t="shared" si="1"/>
        <v>-0.51235294117646646</v>
      </c>
      <c r="L13" s="16">
        <f t="shared" si="2"/>
        <v>0.26250553633217572</v>
      </c>
      <c r="M13" s="16">
        <f t="shared" si="3"/>
        <v>2.9542959466139331</v>
      </c>
    </row>
    <row r="14" spans="1:13" ht="15.5" x14ac:dyDescent="0.35">
      <c r="A14" s="7" t="s">
        <v>23</v>
      </c>
      <c r="B14" s="8">
        <v>73.64</v>
      </c>
      <c r="C14" s="8">
        <v>8.33</v>
      </c>
      <c r="E14" s="16">
        <v>75.746134453781551</v>
      </c>
      <c r="F14" s="16">
        <v>73.64</v>
      </c>
      <c r="G14" s="16">
        <f t="shared" si="0"/>
        <v>-2.1061344537815501</v>
      </c>
      <c r="H14" s="11"/>
      <c r="I14" s="16">
        <v>8.8323529411764667</v>
      </c>
      <c r="J14" s="16">
        <v>8.33</v>
      </c>
      <c r="K14" s="16">
        <f t="shared" si="1"/>
        <v>-0.50235294117646667</v>
      </c>
      <c r="L14" s="16">
        <f t="shared" si="2"/>
        <v>0.25235847750864659</v>
      </c>
      <c r="M14" s="16">
        <f t="shared" si="3"/>
        <v>1.0580228373702527</v>
      </c>
    </row>
    <row r="15" spans="1:13" ht="15.5" x14ac:dyDescent="0.35">
      <c r="A15" s="7" t="s">
        <v>24</v>
      </c>
      <c r="B15" s="8">
        <v>71.56</v>
      </c>
      <c r="C15" s="8">
        <v>8.18</v>
      </c>
      <c r="E15" s="16">
        <v>75.746134453781551</v>
      </c>
      <c r="F15" s="16">
        <v>71.56</v>
      </c>
      <c r="G15" s="16">
        <f t="shared" si="0"/>
        <v>-4.1861344537815484</v>
      </c>
      <c r="H15" s="11"/>
      <c r="I15" s="16">
        <v>8.8323529411764667</v>
      </c>
      <c r="J15" s="16">
        <v>8.18</v>
      </c>
      <c r="K15" s="16">
        <f t="shared" si="1"/>
        <v>-0.65235294117646703</v>
      </c>
      <c r="L15" s="16">
        <f t="shared" si="2"/>
        <v>0.42556435986158703</v>
      </c>
      <c r="M15" s="16">
        <f t="shared" si="3"/>
        <v>2.7308371230845365</v>
      </c>
    </row>
    <row r="16" spans="1:13" ht="15.5" x14ac:dyDescent="0.35">
      <c r="A16" s="7" t="s">
        <v>25</v>
      </c>
      <c r="B16" s="8">
        <v>72.3</v>
      </c>
      <c r="C16" s="8">
        <v>8.06</v>
      </c>
      <c r="E16" s="16">
        <v>75.746134453781551</v>
      </c>
      <c r="F16" s="16">
        <v>72.3</v>
      </c>
      <c r="G16" s="16">
        <f t="shared" si="0"/>
        <v>-3.4461344537815535</v>
      </c>
      <c r="H16" s="11"/>
      <c r="I16" s="16">
        <v>8.8323529411764667</v>
      </c>
      <c r="J16" s="16">
        <v>8.06</v>
      </c>
      <c r="K16" s="16">
        <f t="shared" si="1"/>
        <v>-0.77235294117646625</v>
      </c>
      <c r="L16" s="16">
        <f>K16^2</f>
        <v>0.59652906574393794</v>
      </c>
      <c r="M16" s="16">
        <f t="shared" si="3"/>
        <v>2.6616320810677379</v>
      </c>
    </row>
    <row r="17" spans="1:13" ht="15.5" x14ac:dyDescent="0.35">
      <c r="A17" s="7" t="s">
        <v>26</v>
      </c>
      <c r="B17" s="8">
        <v>71.37</v>
      </c>
      <c r="C17" s="8">
        <v>7.99</v>
      </c>
      <c r="E17" s="16">
        <v>75.746134453781551</v>
      </c>
      <c r="F17" s="16">
        <v>71.37</v>
      </c>
      <c r="G17" s="16">
        <f t="shared" si="0"/>
        <v>-4.3761344537815461</v>
      </c>
      <c r="H17" s="11"/>
      <c r="I17" s="16">
        <v>8.8323529411764667</v>
      </c>
      <c r="J17" s="16">
        <v>7.99</v>
      </c>
      <c r="K17" s="16">
        <f t="shared" si="1"/>
        <v>-0.84235294117646653</v>
      </c>
      <c r="L17" s="16">
        <f t="shared" si="2"/>
        <v>0.70955847750864365</v>
      </c>
      <c r="M17" s="16">
        <f t="shared" si="3"/>
        <v>3.6862497281265552</v>
      </c>
    </row>
    <row r="18" spans="1:13" ht="15.5" x14ac:dyDescent="0.35">
      <c r="A18" s="7" t="s">
        <v>27</v>
      </c>
      <c r="B18" s="8">
        <v>74.569999999999993</v>
      </c>
      <c r="C18" s="8">
        <v>8.86</v>
      </c>
      <c r="E18" s="16">
        <v>75.746134453781551</v>
      </c>
      <c r="F18" s="16">
        <v>74.569999999999993</v>
      </c>
      <c r="G18" s="16">
        <f t="shared" si="0"/>
        <v>-1.1761344537815575</v>
      </c>
      <c r="H18" s="11"/>
      <c r="I18" s="16">
        <v>8.8323529411764667</v>
      </c>
      <c r="J18" s="16">
        <v>8.86</v>
      </c>
      <c r="K18" s="16">
        <f>J18-I18</f>
        <v>2.7647058823532689E-2</v>
      </c>
      <c r="L18" s="16">
        <f t="shared" si="2"/>
        <v>7.6435986159187667E-4</v>
      </c>
      <c r="M18" s="16">
        <f t="shared" si="3"/>
        <v>-3.2516658428082205E-2</v>
      </c>
    </row>
    <row r="19" spans="1:13" ht="15.5" x14ac:dyDescent="0.35">
      <c r="A19" s="7" t="s">
        <v>28</v>
      </c>
      <c r="B19" s="8">
        <v>70.72</v>
      </c>
      <c r="C19" s="8">
        <v>7.45</v>
      </c>
      <c r="E19" s="16">
        <v>75.746134453781551</v>
      </c>
      <c r="F19" s="16">
        <v>70.72</v>
      </c>
      <c r="G19" s="16">
        <f t="shared" si="0"/>
        <v>-5.0261344537815518</v>
      </c>
      <c r="H19" s="11"/>
      <c r="I19" s="16">
        <v>8.8323529411764667</v>
      </c>
      <c r="J19" s="16">
        <v>7.45</v>
      </c>
      <c r="K19" s="16">
        <f t="shared" si="1"/>
        <v>-1.3823529411764666</v>
      </c>
      <c r="L19" s="16">
        <f t="shared" si="2"/>
        <v>1.9108996539792276</v>
      </c>
      <c r="M19" s="16">
        <f t="shared" si="3"/>
        <v>6.9478917449333011</v>
      </c>
    </row>
    <row r="20" spans="1:13" ht="15.5" x14ac:dyDescent="0.35">
      <c r="A20" s="7" t="s">
        <v>29</v>
      </c>
      <c r="B20" s="8">
        <v>72.05</v>
      </c>
      <c r="C20" s="8">
        <v>7.88</v>
      </c>
      <c r="E20" s="16">
        <v>75.746134453781551</v>
      </c>
      <c r="F20" s="16">
        <v>72.05</v>
      </c>
      <c r="G20" s="16">
        <f t="shared" si="0"/>
        <v>-3.6961344537815535</v>
      </c>
      <c r="H20" s="11"/>
      <c r="I20" s="16">
        <v>8.8323529411764667</v>
      </c>
      <c r="J20" s="16">
        <v>7.88</v>
      </c>
      <c r="K20" s="16">
        <f t="shared" si="1"/>
        <v>-0.95235294117646685</v>
      </c>
      <c r="L20" s="16">
        <f t="shared" si="2"/>
        <v>0.9069761245674669</v>
      </c>
      <c r="M20" s="16">
        <f t="shared" si="3"/>
        <v>3.5200245180425362</v>
      </c>
    </row>
    <row r="21" spans="1:13" ht="15.5" x14ac:dyDescent="0.35">
      <c r="A21" s="7" t="s">
        <v>30</v>
      </c>
      <c r="B21" s="8">
        <v>73.989999999999995</v>
      </c>
      <c r="C21" s="8">
        <v>8.4</v>
      </c>
      <c r="E21" s="16">
        <v>75.746134453781551</v>
      </c>
      <c r="F21" s="16">
        <v>73.989999999999995</v>
      </c>
      <c r="G21" s="16">
        <f t="shared" si="0"/>
        <v>-1.7561344537815557</v>
      </c>
      <c r="H21" s="11"/>
      <c r="I21" s="16">
        <v>8.8323529411764667</v>
      </c>
      <c r="J21" s="16">
        <v>8.4</v>
      </c>
      <c r="K21" s="16">
        <f t="shared" si="1"/>
        <v>-0.43235294117646639</v>
      </c>
      <c r="L21" s="16">
        <f t="shared" si="2"/>
        <v>0.186929065743941</v>
      </c>
      <c r="M21" s="16">
        <f t="shared" si="3"/>
        <v>0.75926989619378293</v>
      </c>
    </row>
    <row r="22" spans="1:13" ht="15.5" x14ac:dyDescent="0.35">
      <c r="A22" s="7" t="s">
        <v>31</v>
      </c>
      <c r="B22" s="8">
        <v>73.819999999999993</v>
      </c>
      <c r="C22" s="8">
        <v>8.5399999999999991</v>
      </c>
      <c r="E22" s="16">
        <v>75.746134453781551</v>
      </c>
      <c r="F22" s="16">
        <v>73.819999999999993</v>
      </c>
      <c r="G22" s="16">
        <f t="shared" si="0"/>
        <v>-1.9261344537815575</v>
      </c>
      <c r="H22" s="11"/>
      <c r="I22" s="16">
        <v>8.8323529411764703</v>
      </c>
      <c r="J22" s="16">
        <v>8.5399999999999991</v>
      </c>
      <c r="K22" s="16">
        <f t="shared" si="1"/>
        <v>-0.29235294117647115</v>
      </c>
      <c r="L22" s="16">
        <f t="shared" si="2"/>
        <v>8.5470242214533199E-2</v>
      </c>
      <c r="M22" s="16">
        <f t="shared" si="3"/>
        <v>0.5631110726643741</v>
      </c>
    </row>
    <row r="23" spans="1:13" ht="15.5" x14ac:dyDescent="0.35">
      <c r="A23" s="7" t="s">
        <v>32</v>
      </c>
      <c r="B23" s="8">
        <v>76.8</v>
      </c>
      <c r="C23" s="8">
        <v>10.19</v>
      </c>
      <c r="E23" s="16">
        <v>75.746134453781551</v>
      </c>
      <c r="F23" s="16">
        <v>76.8</v>
      </c>
      <c r="G23" s="16">
        <f t="shared" si="0"/>
        <v>1.0538655462184465</v>
      </c>
      <c r="H23" s="11"/>
      <c r="I23" s="16">
        <v>8.8323529411764703</v>
      </c>
      <c r="J23" s="16">
        <v>10.19</v>
      </c>
      <c r="K23" s="16">
        <f t="shared" si="1"/>
        <v>1.3576470588235292</v>
      </c>
      <c r="L23" s="16">
        <f t="shared" si="2"/>
        <v>1.8432055363321793</v>
      </c>
      <c r="M23" s="16">
        <f t="shared" si="3"/>
        <v>1.430777459218926</v>
      </c>
    </row>
    <row r="24" spans="1:13" ht="15.5" x14ac:dyDescent="0.35">
      <c r="A24" s="7" t="s">
        <v>33</v>
      </c>
      <c r="B24" s="8">
        <v>70.77</v>
      </c>
      <c r="C24" s="8">
        <v>8.57</v>
      </c>
      <c r="E24" s="16">
        <v>75.746134453781551</v>
      </c>
      <c r="F24" s="16">
        <v>70.77</v>
      </c>
      <c r="G24" s="16">
        <f t="shared" si="0"/>
        <v>-4.9761344537815546</v>
      </c>
      <c r="H24" s="11"/>
      <c r="I24" s="16">
        <v>8.8323529411764703</v>
      </c>
      <c r="J24" s="16">
        <v>8.57</v>
      </c>
      <c r="K24" s="16">
        <f t="shared" si="1"/>
        <v>-0.26235294117647001</v>
      </c>
      <c r="L24" s="16">
        <f t="shared" si="2"/>
        <v>6.8829065743944332E-2</v>
      </c>
      <c r="M24" s="16">
        <f t="shared" si="3"/>
        <v>1.3055035096391578</v>
      </c>
    </row>
    <row r="25" spans="1:13" ht="15.5" x14ac:dyDescent="0.35">
      <c r="A25" s="7" t="s">
        <v>34</v>
      </c>
      <c r="B25" s="8">
        <v>71.03</v>
      </c>
      <c r="C25" s="8">
        <v>8.4700000000000006</v>
      </c>
      <c r="E25" s="16">
        <v>75.746134453781551</v>
      </c>
      <c r="F25" s="16">
        <v>71.03</v>
      </c>
      <c r="G25" s="16">
        <f t="shared" si="0"/>
        <v>-4.7161344537815495</v>
      </c>
      <c r="H25" s="11"/>
      <c r="I25" s="16">
        <v>8.8323529411764703</v>
      </c>
      <c r="J25" s="16">
        <v>8.4700000000000006</v>
      </c>
      <c r="K25" s="16">
        <f t="shared" si="1"/>
        <v>-0.36235294117646966</v>
      </c>
      <c r="L25" s="16">
        <f t="shared" si="2"/>
        <v>0.13129965397923807</v>
      </c>
      <c r="M25" s="16">
        <f t="shared" si="3"/>
        <v>1.7089051903114276</v>
      </c>
    </row>
    <row r="26" spans="1:13" ht="15.5" x14ac:dyDescent="0.35">
      <c r="A26" s="7" t="s">
        <v>35</v>
      </c>
      <c r="B26" s="8">
        <v>79.03</v>
      </c>
      <c r="C26" s="8">
        <v>10.79</v>
      </c>
      <c r="E26" s="16">
        <v>75.746134453781551</v>
      </c>
      <c r="F26" s="16">
        <v>79.03</v>
      </c>
      <c r="G26" s="16">
        <f t="shared" si="0"/>
        <v>3.2838655462184505</v>
      </c>
      <c r="H26" s="11"/>
      <c r="I26" s="16">
        <v>8.8323529411764703</v>
      </c>
      <c r="J26" s="16">
        <v>10.79</v>
      </c>
      <c r="K26" s="16">
        <f t="shared" si="1"/>
        <v>1.9576470588235289</v>
      </c>
      <c r="L26" s="16">
        <f t="shared" si="2"/>
        <v>3.8323820069204131</v>
      </c>
      <c r="M26" s="16">
        <f t="shared" si="3"/>
        <v>6.4286497281264703</v>
      </c>
    </row>
    <row r="27" spans="1:13" ht="15.5" x14ac:dyDescent="0.35">
      <c r="A27" s="7" t="s">
        <v>36</v>
      </c>
      <c r="B27" s="8">
        <v>77.69</v>
      </c>
      <c r="C27" s="8">
        <v>10.44</v>
      </c>
      <c r="E27" s="16">
        <v>75.746134453781551</v>
      </c>
      <c r="F27" s="16">
        <v>77.69</v>
      </c>
      <c r="G27" s="16">
        <f t="shared" si="0"/>
        <v>1.9438655462184471</v>
      </c>
      <c r="H27" s="11"/>
      <c r="I27" s="16">
        <v>8.8323529411764703</v>
      </c>
      <c r="J27" s="16">
        <v>10.44</v>
      </c>
      <c r="K27" s="16">
        <f t="shared" si="1"/>
        <v>1.6076470588235292</v>
      </c>
      <c r="L27" s="16">
        <f t="shared" si="2"/>
        <v>2.5845290657439439</v>
      </c>
      <c r="M27" s="16">
        <f t="shared" si="3"/>
        <v>3.1250497281264797</v>
      </c>
    </row>
    <row r="28" spans="1:13" ht="15.5" x14ac:dyDescent="0.35">
      <c r="A28" s="7" t="s">
        <v>37</v>
      </c>
      <c r="B28" s="8">
        <v>83.75</v>
      </c>
      <c r="C28" s="8">
        <v>11.05</v>
      </c>
      <c r="E28" s="16">
        <v>75.746134453781551</v>
      </c>
      <c r="F28" s="16">
        <v>83.75</v>
      </c>
      <c r="G28" s="16">
        <f t="shared" si="0"/>
        <v>8.0038655462184494</v>
      </c>
      <c r="H28" s="11"/>
      <c r="I28" s="16">
        <v>8.8323529411764703</v>
      </c>
      <c r="J28" s="16">
        <v>11.05</v>
      </c>
      <c r="K28" s="16">
        <f t="shared" si="1"/>
        <v>2.2176470588235304</v>
      </c>
      <c r="L28" s="16">
        <f t="shared" si="2"/>
        <v>4.9179584775086553</v>
      </c>
      <c r="M28" s="16">
        <f t="shared" si="3"/>
        <v>17.749748887790332</v>
      </c>
    </row>
    <row r="29" spans="1:13" ht="15.5" x14ac:dyDescent="0.35">
      <c r="A29" s="7" t="s">
        <v>38</v>
      </c>
      <c r="B29" s="8">
        <v>78.09</v>
      </c>
      <c r="C29" s="8">
        <v>10.66</v>
      </c>
      <c r="E29" s="16">
        <v>75.746134453781551</v>
      </c>
      <c r="F29" s="16">
        <v>78.09</v>
      </c>
      <c r="G29" s="16">
        <f t="shared" si="0"/>
        <v>2.3438655462184528</v>
      </c>
      <c r="H29" s="11"/>
      <c r="I29" s="16">
        <v>8.8323529411764703</v>
      </c>
      <c r="J29" s="16">
        <v>10.66</v>
      </c>
      <c r="K29" s="16">
        <f t="shared" si="1"/>
        <v>1.8276470588235298</v>
      </c>
      <c r="L29" s="16">
        <f t="shared" si="2"/>
        <v>3.3402937716262993</v>
      </c>
      <c r="M29" s="16">
        <f t="shared" si="3"/>
        <v>4.2837589718239615</v>
      </c>
    </row>
    <row r="30" spans="1:13" ht="15.5" x14ac:dyDescent="0.35">
      <c r="A30" s="7" t="s">
        <v>39</v>
      </c>
      <c r="B30" s="8">
        <v>83.55</v>
      </c>
      <c r="C30" s="8">
        <v>11.9</v>
      </c>
      <c r="E30" s="16">
        <v>75.746134453781551</v>
      </c>
      <c r="F30" s="16">
        <v>83.55</v>
      </c>
      <c r="G30" s="16">
        <f>F30-E30</f>
        <v>7.8038655462184465</v>
      </c>
      <c r="H30" s="11"/>
      <c r="I30" s="16">
        <v>8.8323529411764703</v>
      </c>
      <c r="J30" s="16">
        <v>11.9</v>
      </c>
      <c r="K30" s="16">
        <f t="shared" si="1"/>
        <v>3.0676470588235301</v>
      </c>
      <c r="L30" s="16">
        <f t="shared" si="2"/>
        <v>9.4104584775086551</v>
      </c>
      <c r="M30" s="16">
        <f t="shared" si="3"/>
        <v>23.939505190311298</v>
      </c>
    </row>
    <row r="31" spans="1:13" ht="15.5" x14ac:dyDescent="0.35">
      <c r="A31" s="7" t="s">
        <v>40</v>
      </c>
      <c r="B31" s="8">
        <v>83.05</v>
      </c>
      <c r="C31" s="8">
        <v>11.58</v>
      </c>
      <c r="E31" s="16">
        <v>75.746134453781551</v>
      </c>
      <c r="F31" s="16">
        <v>83.05</v>
      </c>
      <c r="G31" s="16">
        <f t="shared" si="0"/>
        <v>7.3038655462184465</v>
      </c>
      <c r="H31" s="11"/>
      <c r="I31" s="16">
        <v>8.8323529411764703</v>
      </c>
      <c r="J31" s="16">
        <v>11.58</v>
      </c>
      <c r="K31" s="16">
        <f t="shared" si="1"/>
        <v>2.7476470588235298</v>
      </c>
      <c r="L31" s="16">
        <f t="shared" si="2"/>
        <v>7.549564359861594</v>
      </c>
      <c r="M31" s="16">
        <f t="shared" si="3"/>
        <v>20.068444686109629</v>
      </c>
    </row>
    <row r="32" spans="1:13" ht="15.5" x14ac:dyDescent="0.35">
      <c r="A32" s="7" t="s">
        <v>41</v>
      </c>
      <c r="B32" s="8">
        <v>80.3</v>
      </c>
      <c r="C32" s="8">
        <v>11.47</v>
      </c>
      <c r="E32" s="16">
        <v>75.746134453781551</v>
      </c>
      <c r="F32" s="16">
        <v>80.3</v>
      </c>
      <c r="G32" s="16">
        <f t="shared" si="0"/>
        <v>4.5538655462184465</v>
      </c>
      <c r="H32" s="11"/>
      <c r="I32" s="16">
        <v>8.8323529411764703</v>
      </c>
      <c r="J32" s="16">
        <v>11.47</v>
      </c>
      <c r="K32" s="16">
        <f t="shared" si="1"/>
        <v>2.6376470588235303</v>
      </c>
      <c r="L32" s="16">
        <f t="shared" si="2"/>
        <v>6.9571820069204202</v>
      </c>
      <c r="M32" s="16">
        <f t="shared" si="3"/>
        <v>12.011490064260895</v>
      </c>
    </row>
    <row r="33" spans="1:13" ht="15.5" x14ac:dyDescent="0.35">
      <c r="A33" s="7" t="s">
        <v>42</v>
      </c>
      <c r="B33" s="8">
        <v>76.03</v>
      </c>
      <c r="C33" s="8">
        <v>9.86</v>
      </c>
      <c r="E33" s="16">
        <v>75.746134453781551</v>
      </c>
      <c r="F33" s="16">
        <v>76.03</v>
      </c>
      <c r="G33" s="16">
        <f t="shared" si="0"/>
        <v>0.2838655462184505</v>
      </c>
      <c r="H33" s="11"/>
      <c r="I33" s="16">
        <v>8.8323529411764703</v>
      </c>
      <c r="J33" s="16">
        <v>9.86</v>
      </c>
      <c r="K33" s="16">
        <f>J33-I33</f>
        <v>1.0276470588235291</v>
      </c>
      <c r="L33" s="16">
        <f t="shared" si="2"/>
        <v>1.0560584775086499</v>
      </c>
      <c r="M33" s="16">
        <f t="shared" si="3"/>
        <v>0.29171359367272526</v>
      </c>
    </row>
    <row r="34" spans="1:13" ht="15.5" x14ac:dyDescent="0.35">
      <c r="A34" s="7" t="s">
        <v>43</v>
      </c>
      <c r="B34" s="8">
        <v>75.010000000000005</v>
      </c>
      <c r="C34" s="8">
        <v>9.15</v>
      </c>
      <c r="E34" s="16">
        <v>75.746134453781551</v>
      </c>
      <c r="F34" s="16">
        <v>75.010000000000005</v>
      </c>
      <c r="G34" s="16">
        <f t="shared" si="0"/>
        <v>-0.73613445378154552</v>
      </c>
      <c r="H34" s="11"/>
      <c r="I34" s="16">
        <v>8.8323529411764703</v>
      </c>
      <c r="J34" s="16">
        <v>9.15</v>
      </c>
      <c r="K34" s="16">
        <f t="shared" si="1"/>
        <v>0.31764705882353006</v>
      </c>
      <c r="L34" s="16">
        <f t="shared" si="2"/>
        <v>0.10089965397923917</v>
      </c>
      <c r="M34" s="16">
        <f t="shared" si="3"/>
        <v>-0.23383094414237376</v>
      </c>
    </row>
    <row r="35" spans="1:13" ht="15.5" x14ac:dyDescent="0.35">
      <c r="A35" s="7" t="s">
        <v>44</v>
      </c>
      <c r="B35" s="8">
        <v>72.55</v>
      </c>
      <c r="C35" s="8">
        <v>7.4</v>
      </c>
      <c r="E35" s="16">
        <v>75.746134453781551</v>
      </c>
      <c r="F35" s="16">
        <v>72.55</v>
      </c>
      <c r="G35" s="16">
        <f t="shared" si="0"/>
        <v>-3.1961344537815535</v>
      </c>
      <c r="H35" s="11"/>
      <c r="I35" s="16">
        <v>8.8323529411764703</v>
      </c>
      <c r="J35" s="16">
        <v>7.4</v>
      </c>
      <c r="K35" s="16">
        <f t="shared" si="1"/>
        <v>-1.4323529411764699</v>
      </c>
      <c r="L35" s="16">
        <f t="shared" si="2"/>
        <v>2.0516349480968841</v>
      </c>
      <c r="M35" s="16">
        <f t="shared" si="3"/>
        <v>4.5779925852694587</v>
      </c>
    </row>
    <row r="36" spans="1:13" ht="15.5" x14ac:dyDescent="0.35">
      <c r="A36" s="7" t="s">
        <v>45</v>
      </c>
      <c r="B36" s="8">
        <v>74.52</v>
      </c>
      <c r="C36" s="8">
        <v>7.91</v>
      </c>
      <c r="E36" s="16">
        <v>75.746134453781551</v>
      </c>
      <c r="F36" s="16">
        <v>74.52</v>
      </c>
      <c r="G36" s="16">
        <f t="shared" si="0"/>
        <v>-1.2261344537815546</v>
      </c>
      <c r="H36" s="11"/>
      <c r="I36" s="16">
        <v>8.8323529411764703</v>
      </c>
      <c r="J36" s="16">
        <v>7.91</v>
      </c>
      <c r="K36" s="16">
        <f t="shared" si="1"/>
        <v>-0.92235294117647015</v>
      </c>
      <c r="L36" s="16">
        <f t="shared" si="2"/>
        <v>0.85073494809688499</v>
      </c>
      <c r="M36" s="16">
        <f t="shared" si="3"/>
        <v>1.1309287197232216</v>
      </c>
    </row>
    <row r="37" spans="1:13" ht="15.5" x14ac:dyDescent="0.35">
      <c r="A37" s="7" t="s">
        <v>46</v>
      </c>
      <c r="B37" s="8">
        <v>70.97</v>
      </c>
      <c r="C37" s="8">
        <v>7.36</v>
      </c>
      <c r="E37" s="16">
        <v>75.746134453781551</v>
      </c>
      <c r="F37" s="16">
        <v>70.97</v>
      </c>
      <c r="G37" s="16">
        <f t="shared" si="0"/>
        <v>-4.7761344537815518</v>
      </c>
      <c r="H37" s="11"/>
      <c r="I37" s="16">
        <v>8.8323529411764703</v>
      </c>
      <c r="J37" s="16">
        <v>7.36</v>
      </c>
      <c r="K37" s="16">
        <f t="shared" si="1"/>
        <v>-1.47235294117647</v>
      </c>
      <c r="L37" s="16">
        <f t="shared" si="2"/>
        <v>2.1678231833910018</v>
      </c>
      <c r="M37" s="16">
        <f t="shared" si="3"/>
        <v>7.0321556104795411</v>
      </c>
    </row>
    <row r="38" spans="1:13" ht="15.5" x14ac:dyDescent="0.35">
      <c r="A38" s="7" t="s">
        <v>47</v>
      </c>
      <c r="B38" s="8">
        <v>69.62</v>
      </c>
      <c r="C38" s="8">
        <v>6.87</v>
      </c>
      <c r="E38" s="16">
        <v>75.746134453781551</v>
      </c>
      <c r="F38" s="16">
        <v>69.62</v>
      </c>
      <c r="G38" s="16">
        <f t="shared" si="0"/>
        <v>-6.1261344537815461</v>
      </c>
      <c r="H38" s="11"/>
      <c r="I38" s="16">
        <v>8.8323529411764703</v>
      </c>
      <c r="J38" s="16">
        <v>6.87</v>
      </c>
      <c r="K38" s="16">
        <f t="shared" si="1"/>
        <v>-1.9623529411764702</v>
      </c>
      <c r="L38" s="16">
        <f t="shared" si="2"/>
        <v>3.8508290657439432</v>
      </c>
      <c r="M38" s="16">
        <f t="shared" si="3"/>
        <v>12.021637963420726</v>
      </c>
    </row>
    <row r="39" spans="1:13" ht="15.5" x14ac:dyDescent="0.35">
      <c r="A39" s="7" t="s">
        <v>48</v>
      </c>
      <c r="B39" s="8">
        <v>72.48</v>
      </c>
      <c r="C39" s="8">
        <v>7.87</v>
      </c>
      <c r="E39" s="16">
        <v>75.746134453781551</v>
      </c>
      <c r="F39" s="16">
        <v>72.48</v>
      </c>
      <c r="G39" s="16">
        <f t="shared" si="0"/>
        <v>-3.2661344537815467</v>
      </c>
      <c r="H39" s="11"/>
      <c r="I39" s="16">
        <v>8.8323529411764703</v>
      </c>
      <c r="J39" s="16">
        <v>7.87</v>
      </c>
      <c r="K39" s="16">
        <f t="shared" si="1"/>
        <v>-0.96235294117647019</v>
      </c>
      <c r="L39" s="16">
        <f t="shared" si="2"/>
        <v>0.92612318339100275</v>
      </c>
      <c r="M39" s="16">
        <f t="shared" si="3"/>
        <v>3.1431740978744753</v>
      </c>
    </row>
    <row r="40" spans="1:13" ht="15.5" x14ac:dyDescent="0.35">
      <c r="A40" s="7" t="s">
        <v>49</v>
      </c>
      <c r="B40" s="8">
        <v>75.16</v>
      </c>
      <c r="C40" s="8">
        <v>8.65</v>
      </c>
      <c r="E40" s="16">
        <v>75.746134453781551</v>
      </c>
      <c r="F40" s="16">
        <v>75.16</v>
      </c>
      <c r="G40" s="16">
        <f t="shared" si="0"/>
        <v>-0.58613445378155404</v>
      </c>
      <c r="H40" s="11"/>
      <c r="I40" s="16">
        <v>8.8323529411764703</v>
      </c>
      <c r="J40" s="16">
        <v>8.65</v>
      </c>
      <c r="K40" s="16">
        <f t="shared" si="1"/>
        <v>-0.18235294117646994</v>
      </c>
      <c r="L40" s="16">
        <f t="shared" si="2"/>
        <v>3.3252595155709108E-2</v>
      </c>
      <c r="M40" s="16">
        <f t="shared" si="3"/>
        <v>0.10688334157193007</v>
      </c>
    </row>
    <row r="41" spans="1:13" ht="15.5" x14ac:dyDescent="0.35">
      <c r="A41" s="7" t="s">
        <v>50</v>
      </c>
      <c r="B41" s="8">
        <v>70.63</v>
      </c>
      <c r="C41" s="8">
        <v>6.9</v>
      </c>
      <c r="E41" s="16">
        <v>75.746134453781551</v>
      </c>
      <c r="F41" s="16">
        <v>70.63</v>
      </c>
      <c r="G41" s="16">
        <f t="shared" si="0"/>
        <v>-5.1161344537815552</v>
      </c>
      <c r="H41" s="11"/>
      <c r="I41" s="16">
        <v>8.8323529411764703</v>
      </c>
      <c r="J41" s="16">
        <v>6.9</v>
      </c>
      <c r="K41" s="16">
        <f t="shared" si="1"/>
        <v>-1.9323529411764699</v>
      </c>
      <c r="L41" s="16">
        <f t="shared" si="2"/>
        <v>3.733987889273354</v>
      </c>
      <c r="M41" s="16">
        <f t="shared" si="3"/>
        <v>9.886177459219061</v>
      </c>
    </row>
    <row r="42" spans="1:13" ht="15.5" x14ac:dyDescent="0.35">
      <c r="A42" s="7" t="s">
        <v>51</v>
      </c>
      <c r="B42" s="8">
        <v>72.099999999999994</v>
      </c>
      <c r="C42" s="8">
        <v>7.83</v>
      </c>
      <c r="E42" s="16">
        <v>75.746134453781551</v>
      </c>
      <c r="F42" s="16">
        <v>72.099999999999994</v>
      </c>
      <c r="G42" s="16">
        <f t="shared" si="0"/>
        <v>-3.6461344537815563</v>
      </c>
      <c r="H42" s="11"/>
      <c r="I42" s="16">
        <v>8.8323529411764703</v>
      </c>
      <c r="J42" s="16">
        <v>7.83</v>
      </c>
      <c r="K42" s="16">
        <f t="shared" si="1"/>
        <v>-1.0023529411764702</v>
      </c>
      <c r="L42" s="16">
        <f t="shared" si="2"/>
        <v>1.0047114186851205</v>
      </c>
      <c r="M42" s="16">
        <f t="shared" si="3"/>
        <v>3.6547135936728057</v>
      </c>
    </row>
    <row r="43" spans="1:13" ht="15.5" x14ac:dyDescent="0.35">
      <c r="A43" s="7" t="s">
        <v>52</v>
      </c>
      <c r="B43" s="8">
        <v>75.959999999999994</v>
      </c>
      <c r="C43" s="8">
        <v>8.17</v>
      </c>
      <c r="E43" s="16">
        <v>75.746134453781551</v>
      </c>
      <c r="F43" s="16">
        <v>75.959999999999994</v>
      </c>
      <c r="G43" s="16">
        <f>F43-E43</f>
        <v>0.21386554621844311</v>
      </c>
      <c r="H43" s="11"/>
      <c r="I43" s="16">
        <v>8.8323529411764703</v>
      </c>
      <c r="J43" s="16">
        <v>8.17</v>
      </c>
      <c r="K43" s="16">
        <f t="shared" si="1"/>
        <v>-0.66235294117647037</v>
      </c>
      <c r="L43" s="16">
        <f t="shared" si="2"/>
        <v>0.43871141868512081</v>
      </c>
      <c r="M43" s="16">
        <f t="shared" si="3"/>
        <v>-0.14165447355409816</v>
      </c>
    </row>
    <row r="44" spans="1:13" ht="15.5" x14ac:dyDescent="0.35">
      <c r="A44" s="7" t="s">
        <v>53</v>
      </c>
      <c r="B44" s="8">
        <v>78.16</v>
      </c>
      <c r="C44" s="8">
        <v>9.2899999999999991</v>
      </c>
      <c r="E44" s="16">
        <v>75.746134453781551</v>
      </c>
      <c r="F44" s="16">
        <v>78.16</v>
      </c>
      <c r="G44" s="16">
        <f t="shared" si="0"/>
        <v>2.413865546218446</v>
      </c>
      <c r="H44" s="11"/>
      <c r="I44" s="16">
        <v>8.8323529411764703</v>
      </c>
      <c r="J44" s="16">
        <v>9.2899999999999991</v>
      </c>
      <c r="K44" s="16">
        <f t="shared" si="1"/>
        <v>0.45764705882352885</v>
      </c>
      <c r="L44" s="16">
        <f t="shared" si="2"/>
        <v>0.20944083044982648</v>
      </c>
      <c r="M44" s="16">
        <f t="shared" si="3"/>
        <v>1.1046984676223228</v>
      </c>
    </row>
    <row r="45" spans="1:13" ht="15.5" x14ac:dyDescent="0.35">
      <c r="A45" s="7" t="s">
        <v>54</v>
      </c>
      <c r="B45" s="8">
        <v>79.3</v>
      </c>
      <c r="C45" s="8">
        <v>10.01</v>
      </c>
      <c r="E45" s="16">
        <v>75.746134453781551</v>
      </c>
      <c r="F45" s="16">
        <v>79.3</v>
      </c>
      <c r="G45" s="16">
        <f t="shared" si="0"/>
        <v>3.5538655462184465</v>
      </c>
      <c r="H45" s="11"/>
      <c r="I45" s="16">
        <v>8.8323529411764703</v>
      </c>
      <c r="J45" s="16">
        <v>10.01</v>
      </c>
      <c r="K45" s="16">
        <f t="shared" si="1"/>
        <v>1.1776470588235295</v>
      </c>
      <c r="L45" s="16">
        <f t="shared" si="2"/>
        <v>1.3868525951557096</v>
      </c>
      <c r="M45" s="16">
        <f t="shared" si="3"/>
        <v>4.1851993079584293</v>
      </c>
    </row>
    <row r="46" spans="1:13" ht="15.5" x14ac:dyDescent="0.35">
      <c r="A46" s="7" t="s">
        <v>55</v>
      </c>
      <c r="B46" s="8">
        <v>72.540000000000006</v>
      </c>
      <c r="C46" s="8">
        <v>7.68</v>
      </c>
      <c r="E46" s="16">
        <v>75.746134453781551</v>
      </c>
      <c r="F46" s="16">
        <v>72.540000000000006</v>
      </c>
      <c r="G46" s="16">
        <f t="shared" si="0"/>
        <v>-3.2061344537815444</v>
      </c>
      <c r="H46" s="11"/>
      <c r="I46" s="16">
        <v>8.8323529411764703</v>
      </c>
      <c r="J46" s="16">
        <v>7.68</v>
      </c>
      <c r="K46" s="16">
        <f t="shared" si="1"/>
        <v>-1.1523529411764706</v>
      </c>
      <c r="L46" s="16">
        <f t="shared" si="2"/>
        <v>1.3279173010380623</v>
      </c>
      <c r="M46" s="16">
        <f t="shared" si="3"/>
        <v>3.6945984676223795</v>
      </c>
    </row>
    <row r="47" spans="1:13" ht="15.5" x14ac:dyDescent="0.35">
      <c r="A47" s="7" t="s">
        <v>56</v>
      </c>
      <c r="B47" s="8">
        <v>78.11</v>
      </c>
      <c r="C47" s="8">
        <v>9.26</v>
      </c>
      <c r="E47" s="16">
        <v>75.746134453781551</v>
      </c>
      <c r="F47" s="16">
        <v>78.11</v>
      </c>
      <c r="G47" s="16">
        <f t="shared" si="0"/>
        <v>2.3638655462184488</v>
      </c>
      <c r="H47" s="11"/>
      <c r="I47" s="16">
        <v>8.8323529411764703</v>
      </c>
      <c r="J47" s="16">
        <v>9.26</v>
      </c>
      <c r="K47" s="16">
        <f t="shared" si="1"/>
        <v>0.42764705882352949</v>
      </c>
      <c r="L47" s="16">
        <f t="shared" si="2"/>
        <v>0.18288200692041529</v>
      </c>
      <c r="M47" s="16">
        <f t="shared" si="3"/>
        <v>1.0109001482945956</v>
      </c>
    </row>
    <row r="48" spans="1:13" ht="15.5" x14ac:dyDescent="0.35">
      <c r="A48" s="7" t="s">
        <v>57</v>
      </c>
      <c r="B48" s="8">
        <v>75.53</v>
      </c>
      <c r="C48" s="8">
        <v>7.88</v>
      </c>
      <c r="E48" s="16">
        <v>75.746134453781551</v>
      </c>
      <c r="F48" s="16">
        <v>75.53</v>
      </c>
      <c r="G48" s="16">
        <f t="shared" si="0"/>
        <v>-0.2161344537815495</v>
      </c>
      <c r="H48" s="11"/>
      <c r="I48" s="16">
        <v>8.8323529411764703</v>
      </c>
      <c r="J48" s="16">
        <v>7.88</v>
      </c>
      <c r="K48" s="16">
        <f t="shared" si="1"/>
        <v>-0.9523529411764704</v>
      </c>
      <c r="L48" s="16">
        <f t="shared" si="2"/>
        <v>0.90697612456747367</v>
      </c>
      <c r="M48" s="16">
        <f t="shared" si="3"/>
        <v>0.20583628274842858</v>
      </c>
    </row>
    <row r="49" spans="1:13" ht="15.5" x14ac:dyDescent="0.35">
      <c r="A49" s="7" t="s">
        <v>58</v>
      </c>
      <c r="B49" s="8">
        <v>72.02</v>
      </c>
      <c r="C49" s="8">
        <v>7.29</v>
      </c>
      <c r="E49" s="16">
        <v>75.746134453781551</v>
      </c>
      <c r="F49" s="16">
        <v>72.02</v>
      </c>
      <c r="G49" s="16">
        <f t="shared" si="0"/>
        <v>-3.7261344537815546</v>
      </c>
      <c r="H49" s="11"/>
      <c r="I49" s="16">
        <v>8.8323529411764703</v>
      </c>
      <c r="J49" s="16">
        <v>7.29</v>
      </c>
      <c r="K49" s="16">
        <f>J49-I49</f>
        <v>-1.5423529411764703</v>
      </c>
      <c r="L49" s="16">
        <f t="shared" si="2"/>
        <v>2.3788525951557085</v>
      </c>
      <c r="M49" s="16">
        <f t="shared" si="3"/>
        <v>5.7470144340089613</v>
      </c>
    </row>
    <row r="50" spans="1:13" ht="15.5" x14ac:dyDescent="0.35">
      <c r="A50" s="7" t="s">
        <v>59</v>
      </c>
      <c r="B50" s="8">
        <v>71.42</v>
      </c>
      <c r="C50" s="8">
        <v>7.26</v>
      </c>
      <c r="E50" s="16">
        <v>75.746134453781551</v>
      </c>
      <c r="F50" s="16">
        <v>71.42</v>
      </c>
      <c r="G50" s="16">
        <f t="shared" si="0"/>
        <v>-4.3261344537815489</v>
      </c>
      <c r="H50" s="11"/>
      <c r="I50" s="16">
        <v>8.8323529411764703</v>
      </c>
      <c r="J50" s="16">
        <v>7.26</v>
      </c>
      <c r="K50" s="16">
        <f t="shared" si="1"/>
        <v>-1.5723529411764705</v>
      </c>
      <c r="L50" s="16">
        <f t="shared" si="2"/>
        <v>2.4722937716262972</v>
      </c>
      <c r="M50" s="16">
        <f t="shared" si="3"/>
        <v>6.8022102323282825</v>
      </c>
    </row>
    <row r="51" spans="1:13" ht="15.5" x14ac:dyDescent="0.35">
      <c r="A51" s="7" t="s">
        <v>60</v>
      </c>
      <c r="B51" s="8">
        <v>72.53</v>
      </c>
      <c r="C51" s="8">
        <v>7.73</v>
      </c>
      <c r="E51" s="16">
        <v>75.746134453781551</v>
      </c>
      <c r="F51" s="16">
        <v>72.53</v>
      </c>
      <c r="G51" s="16">
        <f t="shared" si="0"/>
        <v>-3.2161344537815495</v>
      </c>
      <c r="H51" s="11"/>
      <c r="I51" s="16">
        <v>8.8323529411764703</v>
      </c>
      <c r="J51" s="16">
        <v>7.73</v>
      </c>
      <c r="K51" s="16">
        <f t="shared" si="1"/>
        <v>-1.1023529411764699</v>
      </c>
      <c r="L51" s="16">
        <f t="shared" si="2"/>
        <v>1.2151820069204136</v>
      </c>
      <c r="M51" s="16">
        <f t="shared" si="3"/>
        <v>3.5453152743450707</v>
      </c>
    </row>
    <row r="52" spans="1:13" ht="15.5" x14ac:dyDescent="0.35">
      <c r="A52" s="7" t="s">
        <v>61</v>
      </c>
      <c r="B52" s="8">
        <v>74.099999999999994</v>
      </c>
      <c r="C52" s="8">
        <v>7.82</v>
      </c>
      <c r="E52" s="16">
        <v>75.746134453781551</v>
      </c>
      <c r="F52" s="16">
        <v>74.099999999999994</v>
      </c>
      <c r="G52" s="16">
        <f t="shared" si="0"/>
        <v>-1.6461344537815563</v>
      </c>
      <c r="H52" s="11"/>
      <c r="I52" s="16">
        <v>8.8323529411764703</v>
      </c>
      <c r="J52" s="16">
        <v>7.82</v>
      </c>
      <c r="K52" s="16">
        <f t="shared" si="1"/>
        <v>-1.01235294117647</v>
      </c>
      <c r="L52" s="16">
        <f t="shared" si="2"/>
        <v>1.0248584775086493</v>
      </c>
      <c r="M52" s="16">
        <f t="shared" si="3"/>
        <v>1.6664690558576805</v>
      </c>
    </row>
    <row r="53" spans="1:13" ht="15.5" x14ac:dyDescent="0.35">
      <c r="A53" s="7" t="s">
        <v>62</v>
      </c>
      <c r="B53" s="8">
        <v>77.209999999999994</v>
      </c>
      <c r="C53" s="8">
        <v>9.35</v>
      </c>
      <c r="E53" s="16">
        <v>75.746134453781551</v>
      </c>
      <c r="F53" s="16">
        <v>77.209999999999994</v>
      </c>
      <c r="G53" s="16">
        <f t="shared" si="0"/>
        <v>1.4638655462184431</v>
      </c>
      <c r="H53" s="11"/>
      <c r="I53" s="16">
        <v>8.8323529411764703</v>
      </c>
      <c r="J53" s="16">
        <v>9.35</v>
      </c>
      <c r="K53" s="16">
        <f t="shared" si="1"/>
        <v>0.51764705882352935</v>
      </c>
      <c r="L53" s="16">
        <f t="shared" si="2"/>
        <v>0.26795847750865043</v>
      </c>
      <c r="M53" s="16">
        <f t="shared" si="3"/>
        <v>0.75776569451307629</v>
      </c>
    </row>
    <row r="54" spans="1:13" ht="15.5" x14ac:dyDescent="0.35">
      <c r="A54" s="7" t="s">
        <v>63</v>
      </c>
      <c r="B54" s="8">
        <v>74.319999999999993</v>
      </c>
      <c r="C54" s="8">
        <v>8.27</v>
      </c>
      <c r="E54" s="16">
        <v>75.746134453781551</v>
      </c>
      <c r="F54" s="16">
        <v>74.319999999999993</v>
      </c>
      <c r="G54" s="16">
        <f t="shared" si="0"/>
        <v>-1.4261344537815575</v>
      </c>
      <c r="H54" s="11"/>
      <c r="I54" s="16">
        <v>8.8323529411764703</v>
      </c>
      <c r="J54" s="16">
        <v>8.27</v>
      </c>
      <c r="K54" s="16">
        <f t="shared" si="1"/>
        <v>-0.56235294117647072</v>
      </c>
      <c r="L54" s="16">
        <f t="shared" si="2"/>
        <v>0.31624083044982715</v>
      </c>
      <c r="M54" s="16">
        <f t="shared" si="3"/>
        <v>0.80199090459715838</v>
      </c>
    </row>
    <row r="55" spans="1:13" ht="15.5" x14ac:dyDescent="0.35">
      <c r="A55" s="7" t="s">
        <v>64</v>
      </c>
      <c r="B55" s="8">
        <v>74.569999999999993</v>
      </c>
      <c r="C55" s="8">
        <v>8.2799999999999994</v>
      </c>
      <c r="E55" s="16">
        <v>75.746134453781551</v>
      </c>
      <c r="F55" s="16">
        <v>74.569999999999993</v>
      </c>
      <c r="G55" s="16">
        <f t="shared" si="0"/>
        <v>-1.1761344537815575</v>
      </c>
      <c r="H55" s="11"/>
      <c r="I55" s="16">
        <v>8.8323529411764703</v>
      </c>
      <c r="J55" s="16">
        <v>8.2799999999999994</v>
      </c>
      <c r="K55" s="16">
        <f t="shared" si="1"/>
        <v>-0.55235294117647094</v>
      </c>
      <c r="L55" s="16">
        <f t="shared" si="2"/>
        <v>0.30509377162629797</v>
      </c>
      <c r="M55" s="16">
        <f t="shared" si="3"/>
        <v>0.6496413247652254</v>
      </c>
    </row>
    <row r="56" spans="1:13" ht="15.5" x14ac:dyDescent="0.35">
      <c r="A56" s="7" t="s">
        <v>65</v>
      </c>
      <c r="B56" s="8">
        <v>75.67</v>
      </c>
      <c r="C56" s="8">
        <v>8.16</v>
      </c>
      <c r="E56" s="16">
        <v>75.746134453781551</v>
      </c>
      <c r="F56" s="16">
        <v>75.67</v>
      </c>
      <c r="G56" s="16">
        <f t="shared" si="0"/>
        <v>-7.6134453781548928E-2</v>
      </c>
      <c r="H56" s="11"/>
      <c r="I56" s="16">
        <v>8.8323529411764703</v>
      </c>
      <c r="J56" s="16">
        <v>8.16</v>
      </c>
      <c r="K56" s="16">
        <f t="shared" si="1"/>
        <v>-0.67235294117647015</v>
      </c>
      <c r="L56" s="16">
        <f t="shared" si="2"/>
        <v>0.45205847750864991</v>
      </c>
      <c r="M56" s="16">
        <f t="shared" si="3"/>
        <v>5.118922392488845E-2</v>
      </c>
    </row>
    <row r="57" spans="1:13" ht="15.5" x14ac:dyDescent="0.35">
      <c r="A57" s="7" t="s">
        <v>66</v>
      </c>
      <c r="B57" s="8">
        <v>71.86</v>
      </c>
      <c r="C57" s="8">
        <v>7.53</v>
      </c>
      <c r="E57" s="16">
        <v>75.746134453781551</v>
      </c>
      <c r="F57" s="16">
        <v>71.86</v>
      </c>
      <c r="G57" s="16">
        <f t="shared" si="0"/>
        <v>-3.8861344537815512</v>
      </c>
      <c r="H57" s="11"/>
      <c r="I57" s="16">
        <v>8.8323529411764703</v>
      </c>
      <c r="J57" s="16">
        <v>7.53</v>
      </c>
      <c r="K57" s="16">
        <f>J57-I57</f>
        <v>-1.30235294117647</v>
      </c>
      <c r="L57" s="16">
        <f t="shared" si="2"/>
        <v>1.696123183391002</v>
      </c>
      <c r="M57" s="16">
        <f t="shared" si="3"/>
        <v>5.0611186356896178</v>
      </c>
    </row>
    <row r="58" spans="1:13" ht="15.5" x14ac:dyDescent="0.35">
      <c r="A58" s="7" t="s">
        <v>67</v>
      </c>
      <c r="B58" s="8">
        <v>74.34</v>
      </c>
      <c r="C58" s="8">
        <v>7.74</v>
      </c>
      <c r="E58" s="16">
        <v>75.746134453781551</v>
      </c>
      <c r="F58" s="16">
        <v>74.34</v>
      </c>
      <c r="G58" s="16">
        <f t="shared" si="0"/>
        <v>-1.4061344537815472</v>
      </c>
      <c r="H58" s="11"/>
      <c r="I58" s="16">
        <v>8.8323529411764703</v>
      </c>
      <c r="J58" s="16">
        <v>7.74</v>
      </c>
      <c r="K58" s="16">
        <f t="shared" si="1"/>
        <v>-1.0923529411764701</v>
      </c>
      <c r="L58" s="16">
        <f t="shared" si="2"/>
        <v>1.1932349480968847</v>
      </c>
      <c r="M58" s="16">
        <f t="shared" si="3"/>
        <v>1.5359951062778423</v>
      </c>
    </row>
    <row r="59" spans="1:13" ht="15.5" x14ac:dyDescent="0.35">
      <c r="A59" s="7" t="s">
        <v>68</v>
      </c>
      <c r="B59" s="8">
        <v>70.73</v>
      </c>
      <c r="C59" s="8">
        <v>7.08</v>
      </c>
      <c r="E59" s="16">
        <v>75.746134453781551</v>
      </c>
      <c r="F59" s="16">
        <v>70.73</v>
      </c>
      <c r="G59" s="16">
        <f t="shared" si="0"/>
        <v>-5.0161344537815467</v>
      </c>
      <c r="H59" s="11"/>
      <c r="I59" s="16">
        <v>8.8323529411764703</v>
      </c>
      <c r="J59" s="16">
        <v>7.08</v>
      </c>
      <c r="K59" s="16">
        <f t="shared" si="1"/>
        <v>-1.7523529411764702</v>
      </c>
      <c r="L59" s="16">
        <f t="shared" si="2"/>
        <v>3.0707408304498256</v>
      </c>
      <c r="M59" s="16">
        <f t="shared" si="3"/>
        <v>8.7900379634207209</v>
      </c>
    </row>
    <row r="60" spans="1:13" ht="15.5" x14ac:dyDescent="0.35">
      <c r="A60" s="7" t="s">
        <v>69</v>
      </c>
      <c r="B60" s="8">
        <v>71.95</v>
      </c>
      <c r="C60" s="8">
        <v>7.48</v>
      </c>
      <c r="E60" s="16">
        <v>75.746134453781551</v>
      </c>
      <c r="F60" s="16">
        <v>71.95</v>
      </c>
      <c r="G60" s="16">
        <f t="shared" si="0"/>
        <v>-3.7961344537815478</v>
      </c>
      <c r="H60" s="11"/>
      <c r="I60" s="16">
        <v>8.8323529411764703</v>
      </c>
      <c r="J60" s="16">
        <v>7.48</v>
      </c>
      <c r="K60" s="16">
        <f t="shared" si="1"/>
        <v>-1.3523529411764699</v>
      </c>
      <c r="L60" s="16">
        <f t="shared" si="2"/>
        <v>1.8288584775086485</v>
      </c>
      <c r="M60" s="16">
        <f t="shared" si="3"/>
        <v>5.133713593672808</v>
      </c>
    </row>
    <row r="61" spans="1:13" ht="15.5" x14ac:dyDescent="0.35">
      <c r="A61" s="7" t="s">
        <v>70</v>
      </c>
      <c r="B61" s="8">
        <v>68.650000000000006</v>
      </c>
      <c r="C61" s="8">
        <v>6.56</v>
      </c>
      <c r="E61" s="16">
        <v>75.746134453781551</v>
      </c>
      <c r="F61" s="16">
        <v>68.650000000000006</v>
      </c>
      <c r="G61" s="16">
        <f t="shared" si="0"/>
        <v>-7.0961344537815449</v>
      </c>
      <c r="H61" s="11"/>
      <c r="I61" s="16">
        <v>8.8323529411764703</v>
      </c>
      <c r="J61" s="16">
        <v>6.56</v>
      </c>
      <c r="K61" s="16">
        <f t="shared" si="1"/>
        <v>-2.2723529411764707</v>
      </c>
      <c r="L61" s="16">
        <f t="shared" si="2"/>
        <v>5.1635878892733569</v>
      </c>
      <c r="M61" s="16">
        <f t="shared" si="3"/>
        <v>16.124921997034182</v>
      </c>
    </row>
    <row r="62" spans="1:13" ht="15.5" x14ac:dyDescent="0.35">
      <c r="A62" s="7" t="s">
        <v>71</v>
      </c>
      <c r="B62" s="8">
        <v>71.7</v>
      </c>
      <c r="C62" s="8">
        <v>7.36</v>
      </c>
      <c r="E62" s="16">
        <v>75.746134453781551</v>
      </c>
      <c r="F62" s="16">
        <v>71.7</v>
      </c>
      <c r="G62" s="16">
        <f t="shared" si="0"/>
        <v>-4.0461344537815478</v>
      </c>
      <c r="H62" s="11"/>
      <c r="I62" s="16">
        <v>8.8323529411764703</v>
      </c>
      <c r="J62" s="16">
        <v>7.36</v>
      </c>
      <c r="K62" s="16">
        <f t="shared" si="1"/>
        <v>-1.47235294117647</v>
      </c>
      <c r="L62" s="16">
        <f t="shared" si="2"/>
        <v>2.1678231833910018</v>
      </c>
      <c r="M62" s="16">
        <f t="shared" si="3"/>
        <v>5.957337963420712</v>
      </c>
    </row>
    <row r="63" spans="1:13" ht="15.5" x14ac:dyDescent="0.35">
      <c r="A63" s="7" t="s">
        <v>72</v>
      </c>
      <c r="B63" s="8">
        <v>70.180000000000007</v>
      </c>
      <c r="C63" s="8">
        <v>6.41</v>
      </c>
      <c r="E63" s="16">
        <v>75.746134453781551</v>
      </c>
      <c r="F63" s="16">
        <v>70.180000000000007</v>
      </c>
      <c r="G63" s="16">
        <f t="shared" si="0"/>
        <v>-5.5661344537815438</v>
      </c>
      <c r="H63" s="11"/>
      <c r="I63" s="16">
        <v>8.8323529411764703</v>
      </c>
      <c r="J63" s="16">
        <v>6.41</v>
      </c>
      <c r="K63" s="16">
        <f t="shared" si="1"/>
        <v>-2.4223529411764702</v>
      </c>
      <c r="L63" s="16">
        <f t="shared" si="2"/>
        <v>5.8677937716262951</v>
      </c>
      <c r="M63" s="16">
        <f t="shared" si="3"/>
        <v>13.483142165101407</v>
      </c>
    </row>
    <row r="64" spans="1:13" ht="15.5" x14ac:dyDescent="0.35">
      <c r="A64" s="7" t="s">
        <v>73</v>
      </c>
      <c r="B64" s="8">
        <v>82.15</v>
      </c>
      <c r="C64" s="8">
        <v>11.43</v>
      </c>
      <c r="E64" s="16">
        <v>75.746134453781551</v>
      </c>
      <c r="F64" s="16">
        <v>82.15</v>
      </c>
      <c r="G64" s="16">
        <f t="shared" si="0"/>
        <v>6.4038655462184551</v>
      </c>
      <c r="H64" s="11"/>
      <c r="I64" s="16">
        <v>8.8323529411764703</v>
      </c>
      <c r="J64" s="16">
        <v>11.43</v>
      </c>
      <c r="K64" s="16">
        <f t="shared" si="1"/>
        <v>2.5976470588235294</v>
      </c>
      <c r="L64" s="16">
        <f t="shared" si="2"/>
        <v>6.7477702422145329</v>
      </c>
      <c r="M64" s="16">
        <f t="shared" si="3"/>
        <v>16.634982501235704</v>
      </c>
    </row>
    <row r="65" spans="1:13" ht="15.5" x14ac:dyDescent="0.35">
      <c r="A65" s="7" t="s">
        <v>74</v>
      </c>
      <c r="B65" s="8">
        <v>84.41</v>
      </c>
      <c r="C65" s="8">
        <v>11.25</v>
      </c>
      <c r="E65" s="16">
        <v>75.746134453781551</v>
      </c>
      <c r="F65" s="16">
        <v>84.41</v>
      </c>
      <c r="G65" s="16">
        <f t="shared" si="0"/>
        <v>8.663865546218446</v>
      </c>
      <c r="H65" s="11"/>
      <c r="I65" s="16">
        <v>8.8323529411764703</v>
      </c>
      <c r="J65" s="16">
        <v>11.25</v>
      </c>
      <c r="K65" s="16">
        <f t="shared" si="1"/>
        <v>2.4176470588235297</v>
      </c>
      <c r="L65" s="16">
        <f t="shared" si="2"/>
        <v>5.8450173010380633</v>
      </c>
      <c r="M65" s="16">
        <f t="shared" si="3"/>
        <v>20.946169055857538</v>
      </c>
    </row>
    <row r="66" spans="1:13" ht="15.5" x14ac:dyDescent="0.35">
      <c r="A66" s="7" t="s">
        <v>75</v>
      </c>
      <c r="B66" s="8">
        <v>85.72</v>
      </c>
      <c r="C66" s="8">
        <v>11.48</v>
      </c>
      <c r="E66" s="16">
        <v>75.746134453781551</v>
      </c>
      <c r="F66" s="16">
        <v>85.72</v>
      </c>
      <c r="G66" s="16">
        <f>F66-E66</f>
        <v>9.9738655462184482</v>
      </c>
      <c r="H66" s="11"/>
      <c r="I66" s="16">
        <v>8.8323529411764703</v>
      </c>
      <c r="J66" s="16">
        <v>11.48</v>
      </c>
      <c r="K66" s="16">
        <f t="shared" si="1"/>
        <v>2.6476470588235301</v>
      </c>
      <c r="L66" s="16">
        <f t="shared" si="2"/>
        <v>7.01003494809689</v>
      </c>
      <c r="M66" s="16">
        <f t="shared" si="3"/>
        <v>26.407275778546616</v>
      </c>
    </row>
    <row r="67" spans="1:13" ht="15.5" x14ac:dyDescent="0.35">
      <c r="A67" s="7" t="s">
        <v>76</v>
      </c>
      <c r="B67" s="8">
        <v>85.24</v>
      </c>
      <c r="C67" s="8">
        <v>11.05</v>
      </c>
      <c r="E67" s="16">
        <v>75.746134453781551</v>
      </c>
      <c r="F67" s="16">
        <v>85.24</v>
      </c>
      <c r="G67" s="16">
        <f t="shared" si="0"/>
        <v>9.4938655462184443</v>
      </c>
      <c r="H67" s="11"/>
      <c r="I67" s="16">
        <v>8.8323529411764703</v>
      </c>
      <c r="J67" s="16">
        <v>11.05</v>
      </c>
      <c r="K67" s="16">
        <f t="shared" ref="K67:K80" si="4">J67-I67</f>
        <v>2.2176470588235304</v>
      </c>
      <c r="L67" s="16">
        <f t="shared" ref="L67:L120" si="5">K67^2</f>
        <v>4.9179584775086553</v>
      </c>
      <c r="M67" s="16">
        <f t="shared" ref="M67:M120" si="6">G67*K67</f>
        <v>21.054043005437382</v>
      </c>
    </row>
    <row r="68" spans="1:13" ht="15.5" x14ac:dyDescent="0.35">
      <c r="A68" s="7" t="s">
        <v>77</v>
      </c>
      <c r="B68" s="8">
        <v>77.209999999999994</v>
      </c>
      <c r="C68" s="8">
        <v>9.34</v>
      </c>
      <c r="E68" s="16">
        <v>75.746134453781551</v>
      </c>
      <c r="F68" s="16">
        <v>77.209999999999994</v>
      </c>
      <c r="G68" s="16">
        <f t="shared" ref="G68:G87" si="7">F68-E68</f>
        <v>1.4638655462184431</v>
      </c>
      <c r="H68" s="11"/>
      <c r="I68" s="16">
        <v>8.8323529411764703</v>
      </c>
      <c r="J68" s="16">
        <v>9.34</v>
      </c>
      <c r="K68" s="16">
        <f t="shared" si="4"/>
        <v>0.50764705882352956</v>
      </c>
      <c r="L68" s="16">
        <f t="shared" si="5"/>
        <v>0.25770553633218007</v>
      </c>
      <c r="M68" s="16">
        <f t="shared" si="6"/>
        <v>0.74312703905089228</v>
      </c>
    </row>
    <row r="69" spans="1:13" ht="15.5" x14ac:dyDescent="0.35">
      <c r="A69" s="7" t="s">
        <v>78</v>
      </c>
      <c r="B69" s="8">
        <v>77.5</v>
      </c>
      <c r="C69" s="8">
        <v>9.2799999999999994</v>
      </c>
      <c r="E69" s="16">
        <v>75.746134453781551</v>
      </c>
      <c r="F69" s="16">
        <v>77.5</v>
      </c>
      <c r="G69" s="16">
        <f t="shared" si="7"/>
        <v>1.7538655462184494</v>
      </c>
      <c r="H69" s="11"/>
      <c r="I69" s="16">
        <v>8.8323529411764703</v>
      </c>
      <c r="J69" s="16">
        <v>9.2799999999999994</v>
      </c>
      <c r="K69" s="16">
        <f t="shared" si="4"/>
        <v>0.44764705882352906</v>
      </c>
      <c r="L69" s="16">
        <f t="shared" si="5"/>
        <v>0.2003878892733561</v>
      </c>
      <c r="M69" s="16">
        <f t="shared" si="6"/>
        <v>0.78511275333661112</v>
      </c>
    </row>
    <row r="70" spans="1:13" ht="15.5" x14ac:dyDescent="0.35">
      <c r="A70" s="7" t="s">
        <v>79</v>
      </c>
      <c r="B70" s="8">
        <v>76.180000000000007</v>
      </c>
      <c r="C70" s="8">
        <v>9.1999999999999993</v>
      </c>
      <c r="E70" s="16">
        <v>75.746134453781551</v>
      </c>
      <c r="F70" s="16">
        <v>76.180000000000007</v>
      </c>
      <c r="G70" s="16">
        <f t="shared" si="7"/>
        <v>0.43386554621845619</v>
      </c>
      <c r="H70" s="11"/>
      <c r="I70" s="16">
        <v>8.8323529411764703</v>
      </c>
      <c r="J70" s="16">
        <v>9.1999999999999993</v>
      </c>
      <c r="K70" s="16">
        <f t="shared" si="4"/>
        <v>0.36764705882352899</v>
      </c>
      <c r="L70" s="16">
        <f t="shared" si="5"/>
        <v>0.13516435986159139</v>
      </c>
      <c r="M70" s="16">
        <f t="shared" si="6"/>
        <v>0.15950939199207931</v>
      </c>
    </row>
    <row r="71" spans="1:13" ht="15.5" x14ac:dyDescent="0.35">
      <c r="A71" s="7" t="s">
        <v>80</v>
      </c>
      <c r="B71" s="8">
        <v>82.05</v>
      </c>
      <c r="C71" s="8">
        <v>9.81</v>
      </c>
      <c r="E71" s="16">
        <v>75.746134453781551</v>
      </c>
      <c r="F71" s="16">
        <v>82.05</v>
      </c>
      <c r="G71" s="16">
        <f t="shared" si="7"/>
        <v>6.3038655462184465</v>
      </c>
      <c r="H71" s="11"/>
      <c r="I71" s="16">
        <v>8.8323529411764703</v>
      </c>
      <c r="J71" s="16">
        <v>9.81</v>
      </c>
      <c r="K71" s="16">
        <f t="shared" si="4"/>
        <v>0.9776470588235302</v>
      </c>
      <c r="L71" s="16">
        <f t="shared" si="5"/>
        <v>0.95579377162629908</v>
      </c>
      <c r="M71" s="16">
        <f t="shared" si="6"/>
        <v>6.1629556104794512</v>
      </c>
    </row>
    <row r="72" spans="1:13" ht="15.5" x14ac:dyDescent="0.35">
      <c r="A72" s="7" t="s">
        <v>81</v>
      </c>
      <c r="B72" s="8">
        <v>72.14</v>
      </c>
      <c r="C72" s="8">
        <v>7.35</v>
      </c>
      <c r="E72" s="16">
        <v>75.746134453781551</v>
      </c>
      <c r="F72" s="16">
        <v>72.14</v>
      </c>
      <c r="G72" s="16">
        <f t="shared" si="7"/>
        <v>-3.6061344537815501</v>
      </c>
      <c r="H72" s="11"/>
      <c r="I72" s="16">
        <v>8.8323529411764703</v>
      </c>
      <c r="J72" s="16">
        <v>7.35</v>
      </c>
      <c r="K72" s="16">
        <f t="shared" si="4"/>
        <v>-1.4823529411764707</v>
      </c>
      <c r="L72" s="16">
        <f t="shared" si="5"/>
        <v>2.1973702422145331</v>
      </c>
      <c r="M72" s="16">
        <f t="shared" si="6"/>
        <v>5.3455640138408862</v>
      </c>
    </row>
    <row r="73" spans="1:13" ht="15.5" x14ac:dyDescent="0.35">
      <c r="A73" s="7" t="s">
        <v>82</v>
      </c>
      <c r="B73" s="8">
        <v>85.71</v>
      </c>
      <c r="C73" s="8">
        <v>11.33</v>
      </c>
      <c r="E73" s="16">
        <v>75.746134453781551</v>
      </c>
      <c r="F73" s="16">
        <v>85.71</v>
      </c>
      <c r="G73" s="16">
        <f t="shared" si="7"/>
        <v>9.9638655462184431</v>
      </c>
      <c r="H73" s="11"/>
      <c r="I73" s="16">
        <v>8.8323529411764703</v>
      </c>
      <c r="J73" s="16">
        <v>11.33</v>
      </c>
      <c r="K73" s="16">
        <f>J73-I73</f>
        <v>2.4976470588235298</v>
      </c>
      <c r="L73" s="16">
        <f t="shared" si="5"/>
        <v>6.2382408304498291</v>
      </c>
      <c r="M73" s="16">
        <f t="shared" si="6"/>
        <v>24.886219476025598</v>
      </c>
    </row>
    <row r="74" spans="1:13" ht="15.5" x14ac:dyDescent="0.35">
      <c r="A74" s="7" t="s">
        <v>83</v>
      </c>
      <c r="B74" s="8">
        <v>89.1</v>
      </c>
      <c r="C74" s="8">
        <v>12.12</v>
      </c>
      <c r="E74" s="16">
        <v>75.746134453781551</v>
      </c>
      <c r="F74" s="16">
        <v>89.1</v>
      </c>
      <c r="G74" s="16">
        <f t="shared" si="7"/>
        <v>13.353865546218444</v>
      </c>
      <c r="H74" s="11"/>
      <c r="I74" s="16">
        <v>8.8323529411764703</v>
      </c>
      <c r="J74" s="16">
        <v>12.12</v>
      </c>
      <c r="K74" s="16">
        <f t="shared" si="4"/>
        <v>3.2876470588235289</v>
      </c>
      <c r="L74" s="16">
        <f t="shared" si="5"/>
        <v>10.808623183391001</v>
      </c>
      <c r="M74" s="16">
        <f t="shared" si="6"/>
        <v>43.902796786949921</v>
      </c>
    </row>
    <row r="75" spans="1:13" ht="15.5" x14ac:dyDescent="0.35">
      <c r="A75" s="7" t="s">
        <v>84</v>
      </c>
      <c r="B75" s="8">
        <v>71.489999999999995</v>
      </c>
      <c r="C75" s="8">
        <v>7.9</v>
      </c>
      <c r="E75" s="16">
        <v>75.746134453781551</v>
      </c>
      <c r="F75" s="16">
        <v>71.489999999999995</v>
      </c>
      <c r="G75" s="16">
        <f t="shared" si="7"/>
        <v>-4.2561344537815557</v>
      </c>
      <c r="H75" s="11"/>
      <c r="I75" s="16">
        <v>8.8323529411764703</v>
      </c>
      <c r="J75" s="16">
        <v>7.9</v>
      </c>
      <c r="K75" s="16">
        <f t="shared" si="4"/>
        <v>-0.93235294117646994</v>
      </c>
      <c r="L75" s="16">
        <f t="shared" si="5"/>
        <v>0.86928200692041402</v>
      </c>
      <c r="M75" s="16">
        <f t="shared" si="6"/>
        <v>3.9682194760257419</v>
      </c>
    </row>
    <row r="76" spans="1:13" ht="15.5" x14ac:dyDescent="0.35">
      <c r="A76" s="7" t="s">
        <v>85</v>
      </c>
      <c r="B76" s="8">
        <v>73.7</v>
      </c>
      <c r="C76" s="8">
        <v>7.8</v>
      </c>
      <c r="E76" s="16">
        <v>75.746134453781551</v>
      </c>
      <c r="F76" s="16">
        <v>73.7</v>
      </c>
      <c r="G76" s="16">
        <f t="shared" si="7"/>
        <v>-2.0461344537815478</v>
      </c>
      <c r="H76" s="11"/>
      <c r="I76" s="16">
        <v>8.8323529411764703</v>
      </c>
      <c r="J76" s="16">
        <v>7.8</v>
      </c>
      <c r="K76" s="16">
        <f t="shared" si="4"/>
        <v>-1.0323529411764705</v>
      </c>
      <c r="L76" s="16">
        <f t="shared" si="5"/>
        <v>1.0657525951557092</v>
      </c>
      <c r="M76" s="16">
        <f t="shared" si="6"/>
        <v>2.1123329214038917</v>
      </c>
    </row>
    <row r="77" spans="1:13" ht="15.5" x14ac:dyDescent="0.35">
      <c r="A77" s="7" t="s">
        <v>86</v>
      </c>
      <c r="B77" s="8">
        <v>72.47</v>
      </c>
      <c r="C77" s="8">
        <v>7.92</v>
      </c>
      <c r="E77" s="16">
        <v>75.746134453781551</v>
      </c>
      <c r="F77" s="16">
        <v>72.47</v>
      </c>
      <c r="G77" s="16">
        <f t="shared" si="7"/>
        <v>-3.2761344537815518</v>
      </c>
      <c r="H77" s="11"/>
      <c r="I77" s="16">
        <v>8.8323529411764703</v>
      </c>
      <c r="J77" s="16">
        <v>7.92</v>
      </c>
      <c r="K77" s="16">
        <f t="shared" si="4"/>
        <v>-0.91235294117647037</v>
      </c>
      <c r="L77" s="16">
        <f t="shared" si="5"/>
        <v>0.83238788927335605</v>
      </c>
      <c r="M77" s="16">
        <f t="shared" si="6"/>
        <v>2.9889909045971681</v>
      </c>
    </row>
    <row r="78" spans="1:13" ht="15.5" x14ac:dyDescent="0.35">
      <c r="A78" s="7" t="s">
        <v>87</v>
      </c>
      <c r="B78" s="8">
        <v>75.13</v>
      </c>
      <c r="C78" s="8">
        <v>8.68</v>
      </c>
      <c r="E78" s="16">
        <v>75.746134453781551</v>
      </c>
      <c r="F78" s="16">
        <v>75.13</v>
      </c>
      <c r="G78" s="16">
        <f t="shared" si="7"/>
        <v>-0.61613445378155518</v>
      </c>
      <c r="H78" s="11"/>
      <c r="I78" s="16">
        <v>8.8323529411764703</v>
      </c>
      <c r="J78" s="16">
        <v>8.68</v>
      </c>
      <c r="K78" s="16">
        <f t="shared" si="4"/>
        <v>-0.15235294117647058</v>
      </c>
      <c r="L78" s="16">
        <f t="shared" si="5"/>
        <v>2.3211418685121103E-2</v>
      </c>
      <c r="M78" s="16">
        <f t="shared" si="6"/>
        <v>9.3869896193778113E-2</v>
      </c>
    </row>
    <row r="79" spans="1:13" ht="15.5" x14ac:dyDescent="0.35">
      <c r="A79" s="7" t="s">
        <v>88</v>
      </c>
      <c r="B79" s="8">
        <v>73.44</v>
      </c>
      <c r="C79" s="8">
        <v>7.87</v>
      </c>
      <c r="E79" s="16">
        <v>75.746134453781551</v>
      </c>
      <c r="F79" s="16">
        <v>73.44</v>
      </c>
      <c r="G79" s="16">
        <f t="shared" si="7"/>
        <v>-2.3061344537815529</v>
      </c>
      <c r="H79" s="11"/>
      <c r="I79" s="16">
        <v>8.8323529411764703</v>
      </c>
      <c r="J79" s="16">
        <v>7.87</v>
      </c>
      <c r="K79" s="16">
        <f t="shared" si="4"/>
        <v>-0.96235294117647019</v>
      </c>
      <c r="L79" s="16">
        <f t="shared" si="5"/>
        <v>0.92612318339100275</v>
      </c>
      <c r="M79" s="16">
        <f t="shared" si="6"/>
        <v>2.2193152743450701</v>
      </c>
    </row>
    <row r="80" spans="1:13" ht="15.5" x14ac:dyDescent="0.35">
      <c r="A80" s="7" t="s">
        <v>89</v>
      </c>
      <c r="B80" s="8">
        <v>75.180000000000007</v>
      </c>
      <c r="C80" s="8">
        <v>8.26</v>
      </c>
      <c r="E80" s="16">
        <v>75.746134453781551</v>
      </c>
      <c r="F80" s="16">
        <v>75.180000000000007</v>
      </c>
      <c r="G80" s="16">
        <f t="shared" si="7"/>
        <v>-0.56613445378154381</v>
      </c>
      <c r="H80" s="11"/>
      <c r="I80" s="16">
        <v>8.8323529411764703</v>
      </c>
      <c r="J80" s="16">
        <v>8.26</v>
      </c>
      <c r="K80" s="16">
        <f t="shared" si="4"/>
        <v>-0.57235294117647051</v>
      </c>
      <c r="L80" s="16">
        <f t="shared" si="5"/>
        <v>0.3275878892733563</v>
      </c>
      <c r="M80" s="16">
        <f t="shared" si="6"/>
        <v>0.32402871972320119</v>
      </c>
    </row>
    <row r="81" spans="1:13" ht="15.5" x14ac:dyDescent="0.35">
      <c r="A81" s="7" t="s">
        <v>90</v>
      </c>
      <c r="B81" s="8">
        <v>73.53</v>
      </c>
      <c r="C81" s="8">
        <v>7.8</v>
      </c>
      <c r="E81" s="16">
        <v>75.746134453781551</v>
      </c>
      <c r="F81" s="16">
        <v>73.53</v>
      </c>
      <c r="G81" s="16">
        <f t="shared" si="7"/>
        <v>-2.2161344537815495</v>
      </c>
      <c r="H81" s="11"/>
      <c r="I81" s="16">
        <v>8.8323529411764703</v>
      </c>
      <c r="J81" s="16">
        <v>7.8</v>
      </c>
      <c r="K81" s="16">
        <f>J81-I81</f>
        <v>-1.0323529411764705</v>
      </c>
      <c r="L81" s="16">
        <f t="shared" si="5"/>
        <v>1.0657525951557092</v>
      </c>
      <c r="M81" s="16">
        <f t="shared" si="6"/>
        <v>2.2878329214038935</v>
      </c>
    </row>
    <row r="82" spans="1:13" ht="15.5" x14ac:dyDescent="0.35">
      <c r="A82" s="7" t="s">
        <v>91</v>
      </c>
      <c r="B82" s="8">
        <v>70.31</v>
      </c>
      <c r="C82" s="8">
        <v>7.27</v>
      </c>
      <c r="E82" s="16">
        <v>75.746134453781551</v>
      </c>
      <c r="F82" s="16">
        <v>70.31</v>
      </c>
      <c r="G82" s="16">
        <f t="shared" si="7"/>
        <v>-5.4361344537815484</v>
      </c>
      <c r="H82" s="11"/>
      <c r="I82" s="16">
        <v>8.8323529411764703</v>
      </c>
      <c r="J82" s="16">
        <v>7.27</v>
      </c>
      <c r="K82" s="16">
        <f t="shared" ref="K82:K96" si="8">J82-I82</f>
        <v>-1.5623529411764707</v>
      </c>
      <c r="L82" s="16">
        <f t="shared" si="5"/>
        <v>2.4409467128027686</v>
      </c>
      <c r="M82" s="16">
        <f t="shared" si="6"/>
        <v>8.4931606524963499</v>
      </c>
    </row>
    <row r="83" spans="1:13" ht="15.5" x14ac:dyDescent="0.35">
      <c r="A83" s="7" t="s">
        <v>92</v>
      </c>
      <c r="B83" s="8">
        <v>70.930000000000007</v>
      </c>
      <c r="C83" s="8">
        <v>6.54</v>
      </c>
      <c r="E83" s="16">
        <v>75.746134453781551</v>
      </c>
      <c r="F83" s="16">
        <v>70.930000000000007</v>
      </c>
      <c r="G83" s="16">
        <f t="shared" si="7"/>
        <v>-4.8161344537815438</v>
      </c>
      <c r="H83" s="11"/>
      <c r="I83" s="16">
        <v>8.8323529411764703</v>
      </c>
      <c r="J83" s="16">
        <v>6.54</v>
      </c>
      <c r="K83" s="16">
        <f t="shared" si="8"/>
        <v>-2.2923529411764703</v>
      </c>
      <c r="L83" s="16">
        <f t="shared" si="5"/>
        <v>5.2548820069204139</v>
      </c>
      <c r="M83" s="16">
        <f t="shared" si="6"/>
        <v>11.040279980227455</v>
      </c>
    </row>
    <row r="84" spans="1:13" ht="15.5" x14ac:dyDescent="0.35">
      <c r="A84" s="7" t="s">
        <v>93</v>
      </c>
      <c r="B84" s="8">
        <v>74.3</v>
      </c>
      <c r="C84" s="8">
        <v>7.78</v>
      </c>
      <c r="E84" s="16">
        <v>75.746134453781551</v>
      </c>
      <c r="F84" s="16">
        <v>74.3</v>
      </c>
      <c r="G84" s="16">
        <f t="shared" si="7"/>
        <v>-1.4461344537815535</v>
      </c>
      <c r="H84" s="11"/>
      <c r="I84" s="16">
        <v>8.8323529411764703</v>
      </c>
      <c r="J84" s="16">
        <v>7.78</v>
      </c>
      <c r="K84" s="16">
        <f t="shared" si="8"/>
        <v>-1.05235294117647</v>
      </c>
      <c r="L84" s="16">
        <f t="shared" si="5"/>
        <v>1.107446712802767</v>
      </c>
      <c r="M84" s="16">
        <f t="shared" si="6"/>
        <v>1.5218438457736458</v>
      </c>
    </row>
    <row r="85" spans="1:13" ht="15.5" x14ac:dyDescent="0.35">
      <c r="A85" s="7" t="s">
        <v>94</v>
      </c>
      <c r="B85" s="8">
        <v>71.22</v>
      </c>
      <c r="C85" s="8">
        <v>6.53</v>
      </c>
      <c r="E85" s="16">
        <v>75.746134453781551</v>
      </c>
      <c r="F85" s="16">
        <v>71.22</v>
      </c>
      <c r="G85" s="16">
        <f t="shared" si="7"/>
        <v>-4.5261344537815518</v>
      </c>
      <c r="H85" s="11"/>
      <c r="I85" s="16">
        <v>8.8323529411764703</v>
      </c>
      <c r="J85" s="16">
        <v>6.53</v>
      </c>
      <c r="K85" s="16">
        <f t="shared" si="8"/>
        <v>-2.30235294117647</v>
      </c>
      <c r="L85" s="16">
        <f t="shared" si="5"/>
        <v>5.3008290657439421</v>
      </c>
      <c r="M85" s="16">
        <f t="shared" si="6"/>
        <v>10.420758971824112</v>
      </c>
    </row>
    <row r="86" spans="1:13" ht="15.5" x14ac:dyDescent="0.35">
      <c r="A86" s="7" t="s">
        <v>95</v>
      </c>
      <c r="B86" s="8">
        <v>71.22</v>
      </c>
      <c r="C86" s="8">
        <v>6.93</v>
      </c>
      <c r="E86" s="16">
        <v>75.746134453781551</v>
      </c>
      <c r="F86" s="16">
        <v>71.22</v>
      </c>
      <c r="G86" s="16">
        <f t="shared" si="7"/>
        <v>-4.5261344537815518</v>
      </c>
      <c r="H86" s="11"/>
      <c r="I86" s="16">
        <v>8.8323529411764703</v>
      </c>
      <c r="J86" s="16">
        <v>6.93</v>
      </c>
      <c r="K86" s="16">
        <f t="shared" si="8"/>
        <v>-1.9023529411764706</v>
      </c>
      <c r="L86" s="16">
        <f t="shared" si="5"/>
        <v>3.6189467128027681</v>
      </c>
      <c r="M86" s="16">
        <f t="shared" si="6"/>
        <v>8.6103051903114931</v>
      </c>
    </row>
    <row r="87" spans="1:13" ht="15.5" x14ac:dyDescent="0.35">
      <c r="A87" s="7" t="s">
        <v>96</v>
      </c>
      <c r="B87" s="8">
        <v>70.849999999999994</v>
      </c>
      <c r="C87" s="8">
        <v>6.31</v>
      </c>
      <c r="E87" s="16">
        <v>75.746134453781551</v>
      </c>
      <c r="F87" s="16">
        <v>70.849999999999994</v>
      </c>
      <c r="G87" s="16">
        <f t="shared" si="7"/>
        <v>-4.8961344537815563</v>
      </c>
      <c r="H87" s="11"/>
      <c r="I87" s="16">
        <v>8.8323529411764703</v>
      </c>
      <c r="J87" s="16">
        <v>6.31</v>
      </c>
      <c r="K87" s="16">
        <f t="shared" si="8"/>
        <v>-2.5223529411764707</v>
      </c>
      <c r="L87" s="16">
        <f t="shared" si="5"/>
        <v>6.3622643598615918</v>
      </c>
      <c r="M87" s="16">
        <f t="shared" si="6"/>
        <v>12.349779139891361</v>
      </c>
    </row>
    <row r="88" spans="1:13" ht="15.5" x14ac:dyDescent="0.35">
      <c r="A88" s="7" t="s">
        <v>97</v>
      </c>
      <c r="B88" s="8">
        <v>72.36</v>
      </c>
      <c r="C88" s="8">
        <v>7.46</v>
      </c>
      <c r="E88" s="16">
        <v>75.746134453781551</v>
      </c>
      <c r="F88" s="16">
        <v>72.36</v>
      </c>
      <c r="G88" s="16">
        <f>F88-E88</f>
        <v>-3.3861344537815512</v>
      </c>
      <c r="H88" s="11"/>
      <c r="I88" s="16">
        <v>8.8323529411764703</v>
      </c>
      <c r="J88" s="16">
        <v>7.46</v>
      </c>
      <c r="K88" s="16">
        <f t="shared" si="8"/>
        <v>-1.3723529411764703</v>
      </c>
      <c r="L88" s="16">
        <f t="shared" si="5"/>
        <v>1.8833525951557086</v>
      </c>
      <c r="M88" s="16">
        <f t="shared" si="6"/>
        <v>4.6469715768660924</v>
      </c>
    </row>
    <row r="89" spans="1:13" ht="15.5" x14ac:dyDescent="0.35">
      <c r="A89" s="7" t="s">
        <v>98</v>
      </c>
      <c r="B89" s="8">
        <v>82.67</v>
      </c>
      <c r="C89" s="8">
        <v>10.91</v>
      </c>
      <c r="E89" s="16">
        <v>75.746134453781551</v>
      </c>
      <c r="F89" s="16">
        <v>82.67</v>
      </c>
      <c r="G89" s="16">
        <f t="shared" ref="G89:G100" si="9">F89-E89</f>
        <v>6.9238655462184511</v>
      </c>
      <c r="H89" s="11"/>
      <c r="I89" s="16">
        <v>8.8323529411764703</v>
      </c>
      <c r="J89" s="16">
        <v>10.91</v>
      </c>
      <c r="K89" s="16">
        <f t="shared" si="8"/>
        <v>2.0776470588235298</v>
      </c>
      <c r="L89" s="16">
        <f t="shared" si="5"/>
        <v>4.3166173010380637</v>
      </c>
      <c r="M89" s="16">
        <f t="shared" si="6"/>
        <v>14.385348887790338</v>
      </c>
    </row>
    <row r="90" spans="1:13" ht="15.5" x14ac:dyDescent="0.35">
      <c r="A90" s="7" t="s">
        <v>99</v>
      </c>
      <c r="B90" s="8">
        <v>76.69</v>
      </c>
      <c r="C90" s="8">
        <v>9.1300000000000008</v>
      </c>
      <c r="E90" s="16">
        <v>75.746134453781551</v>
      </c>
      <c r="F90" s="16">
        <v>76.69</v>
      </c>
      <c r="G90" s="16">
        <f t="shared" si="9"/>
        <v>0.94386554621844709</v>
      </c>
      <c r="H90" s="11"/>
      <c r="I90" s="16">
        <v>8.8323529411764703</v>
      </c>
      <c r="J90" s="16">
        <v>9.1300000000000008</v>
      </c>
      <c r="K90" s="16">
        <f t="shared" si="8"/>
        <v>0.29764705882353049</v>
      </c>
      <c r="L90" s="16">
        <f t="shared" si="5"/>
        <v>8.8593771626298223E-2</v>
      </c>
      <c r="M90" s="16">
        <f t="shared" si="6"/>
        <v>0.28093880375678587</v>
      </c>
    </row>
    <row r="91" spans="1:13" ht="15.5" x14ac:dyDescent="0.35">
      <c r="A91" s="7" t="s">
        <v>100</v>
      </c>
      <c r="B91" s="8">
        <v>75.67</v>
      </c>
      <c r="C91" s="8">
        <v>8.7799999999999994</v>
      </c>
      <c r="E91" s="16">
        <v>75.746134453781551</v>
      </c>
      <c r="F91" s="16">
        <v>75.67</v>
      </c>
      <c r="G91" s="16">
        <f t="shared" si="9"/>
        <v>-7.6134453781548928E-2</v>
      </c>
      <c r="H91" s="11"/>
      <c r="I91" s="16">
        <v>8.8323529411764703</v>
      </c>
      <c r="J91" s="16">
        <v>8.7799999999999994</v>
      </c>
      <c r="K91" s="16">
        <f t="shared" si="8"/>
        <v>-5.2352941176470935E-2</v>
      </c>
      <c r="L91" s="16">
        <f t="shared" si="5"/>
        <v>2.740830449827026E-3</v>
      </c>
      <c r="M91" s="16">
        <f t="shared" si="6"/>
        <v>3.9858625803281759E-3</v>
      </c>
    </row>
    <row r="92" spans="1:13" ht="15.5" x14ac:dyDescent="0.35">
      <c r="A92" s="7" t="s">
        <v>101</v>
      </c>
      <c r="B92" s="8">
        <v>75.239999999999995</v>
      </c>
      <c r="C92" s="8">
        <v>8.25</v>
      </c>
      <c r="E92" s="16">
        <v>75.746134453781551</v>
      </c>
      <c r="F92" s="16">
        <v>75.239999999999995</v>
      </c>
      <c r="G92" s="16">
        <f t="shared" si="9"/>
        <v>-0.50613445378155575</v>
      </c>
      <c r="H92" s="11"/>
      <c r="I92" s="16">
        <v>8.8323529411764703</v>
      </c>
      <c r="J92" s="16">
        <v>8.25</v>
      </c>
      <c r="K92" s="16">
        <f t="shared" si="8"/>
        <v>-0.5823529411764703</v>
      </c>
      <c r="L92" s="16">
        <f t="shared" si="5"/>
        <v>0.33913494809688549</v>
      </c>
      <c r="M92" s="16">
        <f t="shared" si="6"/>
        <v>0.29474888779043523</v>
      </c>
    </row>
    <row r="93" spans="1:13" ht="15.5" x14ac:dyDescent="0.35">
      <c r="A93" s="7" t="s">
        <v>102</v>
      </c>
      <c r="B93" s="8">
        <v>74.81</v>
      </c>
      <c r="C93" s="8">
        <v>8.1999999999999993</v>
      </c>
      <c r="E93" s="16">
        <v>75.746134453781551</v>
      </c>
      <c r="F93" s="16">
        <v>74.81</v>
      </c>
      <c r="G93" s="16">
        <f t="shared" si="9"/>
        <v>-0.93613445378154836</v>
      </c>
      <c r="H93" s="11"/>
      <c r="I93" s="16">
        <v>8.8323529411764703</v>
      </c>
      <c r="J93" s="16">
        <v>8.1999999999999993</v>
      </c>
      <c r="K93" s="16">
        <f t="shared" si="8"/>
        <v>-0.63235294117647101</v>
      </c>
      <c r="L93" s="16">
        <f t="shared" si="5"/>
        <v>0.39987024221453338</v>
      </c>
      <c r="M93" s="16">
        <f t="shared" si="6"/>
        <v>0.59196737518539122</v>
      </c>
    </row>
    <row r="94" spans="1:13" ht="15.5" x14ac:dyDescent="0.35">
      <c r="A94" s="7" t="s">
        <v>103</v>
      </c>
      <c r="B94" s="8">
        <v>76.77</v>
      </c>
      <c r="C94" s="8">
        <v>8.69</v>
      </c>
      <c r="E94" s="16">
        <v>75.746134453781551</v>
      </c>
      <c r="F94" s="16">
        <v>76.77</v>
      </c>
      <c r="G94" s="16">
        <f t="shared" si="9"/>
        <v>1.0238655462184454</v>
      </c>
      <c r="H94" s="11"/>
      <c r="I94" s="16">
        <v>8.8323529411764703</v>
      </c>
      <c r="J94" s="16">
        <v>8.69</v>
      </c>
      <c r="K94" s="16">
        <f t="shared" si="8"/>
        <v>-0.14235294117647079</v>
      </c>
      <c r="L94" s="16">
        <f t="shared" si="5"/>
        <v>2.0264359861591755E-2</v>
      </c>
      <c r="M94" s="16">
        <f t="shared" si="6"/>
        <v>-0.14575027187344949</v>
      </c>
    </row>
    <row r="95" spans="1:13" ht="15.5" x14ac:dyDescent="0.35">
      <c r="A95" s="7" t="s">
        <v>104</v>
      </c>
      <c r="B95" s="8">
        <v>73.91</v>
      </c>
      <c r="C95" s="8">
        <v>7.84</v>
      </c>
      <c r="E95" s="16">
        <v>75.746134453781551</v>
      </c>
      <c r="F95" s="16">
        <v>73.91</v>
      </c>
      <c r="G95" s="16">
        <f t="shared" si="9"/>
        <v>-1.836134453781554</v>
      </c>
      <c r="H95" s="11"/>
      <c r="I95" s="16">
        <v>8.8323529411764703</v>
      </c>
      <c r="J95" s="16">
        <v>7.84</v>
      </c>
      <c r="K95" s="16">
        <f t="shared" si="8"/>
        <v>-0.99235294117647044</v>
      </c>
      <c r="L95" s="16">
        <f t="shared" si="5"/>
        <v>0.98476435986159139</v>
      </c>
      <c r="M95" s="16">
        <f t="shared" si="6"/>
        <v>1.8220934256055772</v>
      </c>
    </row>
    <row r="96" spans="1:13" ht="15.5" x14ac:dyDescent="0.35">
      <c r="A96" s="7" t="s">
        <v>105</v>
      </c>
      <c r="B96" s="8">
        <v>72.75</v>
      </c>
      <c r="C96" s="8">
        <v>7.59</v>
      </c>
      <c r="E96" s="16">
        <v>75.746134453781551</v>
      </c>
      <c r="F96" s="16">
        <v>72.75</v>
      </c>
      <c r="G96" s="16">
        <f t="shared" si="9"/>
        <v>-2.9961344537815506</v>
      </c>
      <c r="H96" s="11"/>
      <c r="I96" s="16">
        <v>8.8323529411764703</v>
      </c>
      <c r="J96" s="16">
        <v>7.59</v>
      </c>
      <c r="K96" s="16">
        <f t="shared" si="8"/>
        <v>-1.2423529411764704</v>
      </c>
      <c r="L96" s="16">
        <f t="shared" si="5"/>
        <v>1.5434408304498266</v>
      </c>
      <c r="M96" s="16">
        <f t="shared" si="6"/>
        <v>3.7222564508156673</v>
      </c>
    </row>
    <row r="97" spans="1:13" ht="15.5" x14ac:dyDescent="0.35">
      <c r="A97" s="7" t="s">
        <v>106</v>
      </c>
      <c r="B97" s="8">
        <v>72.31</v>
      </c>
      <c r="C97" s="8">
        <v>7.53</v>
      </c>
      <c r="E97" s="16">
        <v>75.746134453781551</v>
      </c>
      <c r="F97" s="16">
        <v>72.31</v>
      </c>
      <c r="G97" s="16">
        <f t="shared" si="9"/>
        <v>-3.4361344537815484</v>
      </c>
      <c r="H97" s="11"/>
      <c r="I97" s="16">
        <v>8.8323529411764703</v>
      </c>
      <c r="J97" s="16">
        <v>7.53</v>
      </c>
      <c r="K97" s="16">
        <f>J97-I97</f>
        <v>-1.30235294117647</v>
      </c>
      <c r="L97" s="16">
        <f t="shared" si="5"/>
        <v>1.696123183391002</v>
      </c>
      <c r="M97" s="16">
        <f t="shared" si="6"/>
        <v>4.475059812160203</v>
      </c>
    </row>
    <row r="98" spans="1:13" ht="15.5" x14ac:dyDescent="0.35">
      <c r="A98" s="7" t="s">
        <v>107</v>
      </c>
      <c r="B98" s="8">
        <v>75.900000000000006</v>
      </c>
      <c r="C98" s="8">
        <v>8.48</v>
      </c>
      <c r="E98" s="16">
        <v>75.746134453781551</v>
      </c>
      <c r="F98" s="16">
        <v>75.900000000000006</v>
      </c>
      <c r="G98" s="16">
        <f t="shared" si="9"/>
        <v>0.15386554621845505</v>
      </c>
      <c r="H98" s="11"/>
      <c r="I98" s="16">
        <v>8.8323529411764703</v>
      </c>
      <c r="J98" s="16">
        <v>8.48</v>
      </c>
      <c r="K98" s="16">
        <f>J98-I98</f>
        <v>-0.35235294117646987</v>
      </c>
      <c r="L98" s="16">
        <f t="shared" si="5"/>
        <v>0.12415259515570884</v>
      </c>
      <c r="M98" s="16">
        <f t="shared" si="6"/>
        <v>-5.4214977755796701E-2</v>
      </c>
    </row>
    <row r="99" spans="1:13" ht="15.5" x14ac:dyDescent="0.35">
      <c r="A99" s="7" t="s">
        <v>108</v>
      </c>
      <c r="B99" s="8">
        <v>78.930000000000007</v>
      </c>
      <c r="C99" s="8">
        <v>10.029999999999999</v>
      </c>
      <c r="E99" s="16">
        <v>75.746134453781551</v>
      </c>
      <c r="F99" s="16">
        <v>78.930000000000007</v>
      </c>
      <c r="G99" s="16">
        <f t="shared" si="9"/>
        <v>3.1838655462184562</v>
      </c>
      <c r="H99" s="11"/>
      <c r="I99" s="16">
        <v>8.8323529411764703</v>
      </c>
      <c r="J99" s="16">
        <v>10.029999999999999</v>
      </c>
      <c r="K99" s="16">
        <f t="shared" ref="K99:K105" si="10">J99-I99</f>
        <v>1.1976470588235291</v>
      </c>
      <c r="L99" s="16">
        <f t="shared" si="5"/>
        <v>1.4343584775086498</v>
      </c>
      <c r="M99" s="16">
        <f t="shared" si="6"/>
        <v>3.813147207118103</v>
      </c>
    </row>
    <row r="100" spans="1:13" ht="15.5" x14ac:dyDescent="0.35">
      <c r="A100" s="7" t="s">
        <v>109</v>
      </c>
      <c r="B100" s="8">
        <v>67.33</v>
      </c>
      <c r="C100" s="8">
        <v>6.01</v>
      </c>
      <c r="E100" s="16">
        <v>75.746134453781551</v>
      </c>
      <c r="F100" s="16">
        <v>67.33</v>
      </c>
      <c r="G100" s="16">
        <f t="shared" si="9"/>
        <v>-8.4161344537815523</v>
      </c>
      <c r="H100" s="11"/>
      <c r="I100" s="16">
        <v>8.8323529411764703</v>
      </c>
      <c r="J100" s="16">
        <v>6.01</v>
      </c>
      <c r="K100" s="16">
        <f t="shared" si="10"/>
        <v>-2.8223529411764705</v>
      </c>
      <c r="L100" s="16">
        <f t="shared" si="5"/>
        <v>7.9656761245674739</v>
      </c>
      <c r="M100" s="16">
        <f t="shared" si="6"/>
        <v>23.753301828966993</v>
      </c>
    </row>
    <row r="101" spans="1:13" ht="15.5" x14ac:dyDescent="0.35">
      <c r="A101" s="7" t="s">
        <v>110</v>
      </c>
      <c r="B101" s="8">
        <v>66.72</v>
      </c>
      <c r="C101" s="8">
        <v>5.08</v>
      </c>
      <c r="E101" s="16">
        <v>75.746134453781551</v>
      </c>
      <c r="F101" s="16">
        <v>66.72</v>
      </c>
      <c r="G101" s="16">
        <f>F101-E101</f>
        <v>-9.0261344537815518</v>
      </c>
      <c r="H101" s="11"/>
      <c r="I101" s="16">
        <v>8.8323529411764703</v>
      </c>
      <c r="J101" s="16">
        <v>5.08</v>
      </c>
      <c r="K101" s="16">
        <f t="shared" si="10"/>
        <v>-3.7523529411764702</v>
      </c>
      <c r="L101" s="16">
        <f t="shared" si="5"/>
        <v>14.080152595155706</v>
      </c>
      <c r="M101" s="16">
        <f t="shared" si="6"/>
        <v>33.869242165101475</v>
      </c>
    </row>
    <row r="102" spans="1:13" ht="15.5" x14ac:dyDescent="0.35">
      <c r="A102" s="7" t="s">
        <v>111</v>
      </c>
      <c r="B102" s="8">
        <v>70.849999999999994</v>
      </c>
      <c r="C102" s="8">
        <v>7.17</v>
      </c>
      <c r="E102" s="16">
        <v>75.746134453781551</v>
      </c>
      <c r="F102" s="16">
        <v>70.849999999999994</v>
      </c>
      <c r="G102" s="16">
        <f t="shared" ref="G102:G116" si="11">F102-E102</f>
        <v>-4.8961344537815563</v>
      </c>
      <c r="H102" s="11"/>
      <c r="I102" s="16">
        <v>8.8323529411764703</v>
      </c>
      <c r="J102" s="16">
        <v>7.17</v>
      </c>
      <c r="K102" s="16">
        <f t="shared" si="10"/>
        <v>-1.6623529411764704</v>
      </c>
      <c r="L102" s="16">
        <f t="shared" si="5"/>
        <v>2.7634173010380616</v>
      </c>
      <c r="M102" s="16">
        <f t="shared" si="6"/>
        <v>8.1391035096392219</v>
      </c>
    </row>
    <row r="103" spans="1:13" ht="15.5" x14ac:dyDescent="0.35">
      <c r="A103" s="7" t="s">
        <v>112</v>
      </c>
      <c r="B103" s="8">
        <v>69.78</v>
      </c>
      <c r="C103" s="8">
        <v>6.1</v>
      </c>
      <c r="E103" s="16">
        <v>75.746134453781551</v>
      </c>
      <c r="F103" s="16">
        <v>69.78</v>
      </c>
      <c r="G103" s="16">
        <f t="shared" si="11"/>
        <v>-5.9661344537815495</v>
      </c>
      <c r="H103" s="11"/>
      <c r="I103" s="16">
        <v>8.8323529411764703</v>
      </c>
      <c r="J103" s="16">
        <v>6.1</v>
      </c>
      <c r="K103" s="16">
        <f t="shared" si="10"/>
        <v>-2.7323529411764707</v>
      </c>
      <c r="L103" s="16">
        <f t="shared" si="5"/>
        <v>7.4657525951557098</v>
      </c>
      <c r="M103" s="16">
        <f t="shared" si="6"/>
        <v>16.301585022244293</v>
      </c>
    </row>
    <row r="104" spans="1:13" ht="15.5" x14ac:dyDescent="0.35">
      <c r="A104" s="7" t="s">
        <v>113</v>
      </c>
      <c r="B104" s="8">
        <v>81.88</v>
      </c>
      <c r="C104" s="8">
        <v>10.92</v>
      </c>
      <c r="E104" s="16">
        <v>75.746134453781551</v>
      </c>
      <c r="F104" s="16">
        <v>81.88</v>
      </c>
      <c r="G104" s="16">
        <f t="shared" si="11"/>
        <v>6.1338655462184448</v>
      </c>
      <c r="H104" s="11"/>
      <c r="I104" s="16">
        <v>8.8323529411764703</v>
      </c>
      <c r="J104" s="16">
        <v>10.92</v>
      </c>
      <c r="K104" s="16">
        <f t="shared" si="10"/>
        <v>2.0876470588235296</v>
      </c>
      <c r="L104" s="16">
        <f t="shared" si="5"/>
        <v>4.3582702422145339</v>
      </c>
      <c r="M104" s="16">
        <f t="shared" si="6"/>
        <v>12.805346366781919</v>
      </c>
    </row>
    <row r="105" spans="1:13" ht="15.5" x14ac:dyDescent="0.35">
      <c r="A105" s="7" t="s">
        <v>114</v>
      </c>
      <c r="B105" s="8">
        <v>81.44</v>
      </c>
      <c r="C105" s="8">
        <v>10.82</v>
      </c>
      <c r="E105" s="16">
        <v>75.746134453781551</v>
      </c>
      <c r="F105" s="16">
        <v>81.44</v>
      </c>
      <c r="G105" s="16">
        <f t="shared" si="11"/>
        <v>5.6938655462184471</v>
      </c>
      <c r="H105" s="11"/>
      <c r="I105" s="16">
        <v>8.8323529411764703</v>
      </c>
      <c r="J105" s="16">
        <v>10.82</v>
      </c>
      <c r="K105" s="16">
        <f t="shared" si="10"/>
        <v>1.98764705882353</v>
      </c>
      <c r="L105" s="16">
        <f t="shared" si="5"/>
        <v>3.9507408304498295</v>
      </c>
      <c r="M105" s="16">
        <f t="shared" si="6"/>
        <v>11.317395106277729</v>
      </c>
    </row>
    <row r="106" spans="1:13" ht="15.5" x14ac:dyDescent="0.35">
      <c r="A106" s="7" t="s">
        <v>115</v>
      </c>
      <c r="B106" s="8">
        <v>84.68</v>
      </c>
      <c r="C106" s="8">
        <v>11.14</v>
      </c>
      <c r="E106" s="16">
        <v>75.746134453781551</v>
      </c>
      <c r="F106" s="16">
        <v>84.68</v>
      </c>
      <c r="G106" s="16">
        <f t="shared" si="11"/>
        <v>8.9338655462184562</v>
      </c>
      <c r="H106" s="11"/>
      <c r="I106" s="16">
        <v>8.8323529411764703</v>
      </c>
      <c r="J106" s="16">
        <v>11.14</v>
      </c>
      <c r="K106" s="16">
        <f>J106-I106</f>
        <v>2.3076470588235303</v>
      </c>
      <c r="L106" s="16">
        <f t="shared" si="5"/>
        <v>5.3252349480968899</v>
      </c>
      <c r="M106" s="16">
        <f t="shared" si="6"/>
        <v>20.616208551655891</v>
      </c>
    </row>
    <row r="107" spans="1:13" ht="15.5" x14ac:dyDescent="0.35">
      <c r="A107" s="7" t="s">
        <v>116</v>
      </c>
      <c r="B107" s="8">
        <v>77.790000000000006</v>
      </c>
      <c r="C107" s="8">
        <v>9.7200000000000006</v>
      </c>
      <c r="E107" s="16">
        <v>75.746134453781551</v>
      </c>
      <c r="F107" s="16">
        <v>77.790000000000006</v>
      </c>
      <c r="G107" s="16">
        <f t="shared" si="11"/>
        <v>2.0438655462184556</v>
      </c>
      <c r="H107" s="11"/>
      <c r="I107" s="16">
        <v>8.8323529411764703</v>
      </c>
      <c r="J107" s="16">
        <v>9.7200000000000006</v>
      </c>
      <c r="K107" s="16">
        <f t="shared" ref="K107:K120" si="12">J107-I107</f>
        <v>0.88764705882353034</v>
      </c>
      <c r="L107" s="16">
        <f t="shared" si="5"/>
        <v>0.7879173010380639</v>
      </c>
      <c r="M107" s="16">
        <f t="shared" si="6"/>
        <v>1.8142312407315604</v>
      </c>
    </row>
    <row r="108" spans="1:13" ht="15.5" x14ac:dyDescent="0.35">
      <c r="A108" s="7" t="s">
        <v>117</v>
      </c>
      <c r="B108" s="8">
        <v>78.900000000000006</v>
      </c>
      <c r="C108" s="8">
        <v>9.94</v>
      </c>
      <c r="E108" s="16">
        <v>75.746134453781551</v>
      </c>
      <c r="F108" s="16">
        <v>78.900000000000006</v>
      </c>
      <c r="G108" s="16">
        <f t="shared" si="11"/>
        <v>3.1538655462184551</v>
      </c>
      <c r="H108" s="11"/>
      <c r="I108" s="16">
        <v>8.8323529411764703</v>
      </c>
      <c r="J108" s="16">
        <v>9.94</v>
      </c>
      <c r="K108" s="16">
        <f t="shared" si="12"/>
        <v>1.1076470588235292</v>
      </c>
      <c r="L108" s="16">
        <f t="shared" si="5"/>
        <v>1.2268820069204147</v>
      </c>
      <c r="M108" s="16">
        <f t="shared" si="6"/>
        <v>3.4933698961937352</v>
      </c>
    </row>
    <row r="109" spans="1:13" ht="15.5" x14ac:dyDescent="0.35">
      <c r="A109" s="7" t="s">
        <v>118</v>
      </c>
      <c r="B109" s="8">
        <v>81.760000000000005</v>
      </c>
      <c r="C109" s="8">
        <v>11.38</v>
      </c>
      <c r="E109" s="16">
        <v>75.746134453781551</v>
      </c>
      <c r="F109" s="16">
        <v>81.760000000000005</v>
      </c>
      <c r="G109" s="16">
        <f t="shared" si="11"/>
        <v>6.0138655462184545</v>
      </c>
      <c r="H109" s="11"/>
      <c r="I109" s="16">
        <v>8.8323529411764703</v>
      </c>
      <c r="J109" s="16">
        <v>11.38</v>
      </c>
      <c r="K109" s="16">
        <f t="shared" si="12"/>
        <v>2.5476470588235305</v>
      </c>
      <c r="L109" s="16">
        <f t="shared" si="5"/>
        <v>6.4905055363321855</v>
      </c>
      <c r="M109" s="16">
        <f t="shared" si="6"/>
        <v>15.321206870983611</v>
      </c>
    </row>
    <row r="110" spans="1:13" ht="15.5" x14ac:dyDescent="0.35">
      <c r="A110" s="7" t="s">
        <v>119</v>
      </c>
      <c r="B110" s="8">
        <v>84.51</v>
      </c>
      <c r="C110" s="8">
        <v>12.11</v>
      </c>
      <c r="E110" s="16">
        <v>75.746134453781551</v>
      </c>
      <c r="F110" s="16">
        <v>84.51</v>
      </c>
      <c r="G110" s="16">
        <f t="shared" si="11"/>
        <v>8.7638655462184545</v>
      </c>
      <c r="H110" s="11"/>
      <c r="I110" s="16">
        <v>8.8323529411764703</v>
      </c>
      <c r="J110" s="16">
        <v>12.11</v>
      </c>
      <c r="K110" s="16">
        <f t="shared" si="12"/>
        <v>3.2776470588235291</v>
      </c>
      <c r="L110" s="16">
        <f t="shared" si="5"/>
        <v>10.742970242214531</v>
      </c>
      <c r="M110" s="16">
        <f t="shared" si="6"/>
        <v>28.724858131487778</v>
      </c>
    </row>
    <row r="111" spans="1:13" ht="15.5" x14ac:dyDescent="0.35">
      <c r="A111" s="7" t="s">
        <v>120</v>
      </c>
      <c r="B111" s="8">
        <v>84.69</v>
      </c>
      <c r="C111" s="8">
        <v>10.89</v>
      </c>
      <c r="E111" s="16">
        <v>75.746134453781551</v>
      </c>
      <c r="F111" s="16">
        <v>84.69</v>
      </c>
      <c r="G111" s="16">
        <f t="shared" si="11"/>
        <v>8.9438655462184471</v>
      </c>
      <c r="H111" s="11"/>
      <c r="I111" s="16">
        <v>8.8323529411764703</v>
      </c>
      <c r="J111" s="16">
        <v>10.89</v>
      </c>
      <c r="K111" s="16">
        <f t="shared" si="12"/>
        <v>2.0576470588235303</v>
      </c>
      <c r="L111" s="16">
        <f t="shared" si="5"/>
        <v>4.2339114186851248</v>
      </c>
      <c r="M111" s="16">
        <f t="shared" si="6"/>
        <v>18.403318635689494</v>
      </c>
    </row>
    <row r="112" spans="1:13" ht="15.5" x14ac:dyDescent="0.35">
      <c r="A112" s="7" t="s">
        <v>121</v>
      </c>
      <c r="B112" s="8">
        <v>79.69</v>
      </c>
      <c r="C112" s="8">
        <v>9.8699999999999992</v>
      </c>
      <c r="E112" s="16">
        <v>75.746134453781551</v>
      </c>
      <c r="F112" s="16">
        <v>79.69</v>
      </c>
      <c r="G112" s="16">
        <f t="shared" si="11"/>
        <v>3.9438655462184471</v>
      </c>
      <c r="H112" s="11"/>
      <c r="I112" s="16">
        <v>8.8323529411764703</v>
      </c>
      <c r="J112" s="16">
        <v>9.8699999999999992</v>
      </c>
      <c r="K112" s="16">
        <f t="shared" si="12"/>
        <v>1.0376470588235289</v>
      </c>
      <c r="L112" s="16">
        <f t="shared" si="5"/>
        <v>1.0767114186851201</v>
      </c>
      <c r="M112" s="16">
        <f t="shared" si="6"/>
        <v>4.0923404844290223</v>
      </c>
    </row>
    <row r="113" spans="1:13" ht="15.5" x14ac:dyDescent="0.35">
      <c r="A113" s="7" t="s">
        <v>122</v>
      </c>
      <c r="B113" s="8">
        <v>70.88</v>
      </c>
      <c r="C113" s="8">
        <v>7.16</v>
      </c>
      <c r="E113" s="16">
        <v>75.746134453781551</v>
      </c>
      <c r="F113" s="16">
        <v>70.88</v>
      </c>
      <c r="G113" s="16">
        <f t="shared" si="11"/>
        <v>-4.8661344537815552</v>
      </c>
      <c r="H113" s="11"/>
      <c r="I113" s="16">
        <v>8.8323529411764703</v>
      </c>
      <c r="J113" s="16">
        <v>7.16</v>
      </c>
      <c r="K113" s="16">
        <f t="shared" si="12"/>
        <v>-1.6723529411764702</v>
      </c>
      <c r="L113" s="16">
        <f t="shared" si="5"/>
        <v>2.7967643598615903</v>
      </c>
      <c r="M113" s="16">
        <f t="shared" si="6"/>
        <v>8.137894265941739</v>
      </c>
    </row>
    <row r="114" spans="1:13" ht="15.5" x14ac:dyDescent="0.35">
      <c r="A114" s="7" t="s">
        <v>123</v>
      </c>
      <c r="B114" s="8">
        <v>68.33</v>
      </c>
      <c r="C114" s="8">
        <v>6.61</v>
      </c>
      <c r="E114" s="16">
        <v>75.746134453781551</v>
      </c>
      <c r="F114" s="16">
        <v>68.33</v>
      </c>
      <c r="G114" s="16">
        <f t="shared" si="11"/>
        <v>-7.4161344537815523</v>
      </c>
      <c r="H114" s="11"/>
      <c r="I114" s="16">
        <v>8.8323529411764703</v>
      </c>
      <c r="J114" s="16">
        <v>6.61</v>
      </c>
      <c r="K114" s="16">
        <f t="shared" si="12"/>
        <v>-2.22235294117647</v>
      </c>
      <c r="L114" s="16">
        <f t="shared" si="5"/>
        <v>4.9388525951557067</v>
      </c>
      <c r="M114" s="16">
        <f t="shared" si="6"/>
        <v>16.481268215521588</v>
      </c>
    </row>
    <row r="115" spans="1:13" ht="15.5" x14ac:dyDescent="0.35">
      <c r="A115" s="7" t="s">
        <v>124</v>
      </c>
      <c r="B115" s="8">
        <v>76.19</v>
      </c>
      <c r="C115" s="8">
        <v>9.06</v>
      </c>
      <c r="E115" s="16">
        <v>75.746134453781551</v>
      </c>
      <c r="F115" s="16">
        <v>76.19</v>
      </c>
      <c r="G115" s="16">
        <f t="shared" si="11"/>
        <v>0.44386554621844709</v>
      </c>
      <c r="H115" s="11"/>
      <c r="I115" s="16">
        <v>8.8323529411764703</v>
      </c>
      <c r="J115" s="16">
        <v>9.06</v>
      </c>
      <c r="K115" s="16">
        <f t="shared" si="12"/>
        <v>0.2276470588235302</v>
      </c>
      <c r="L115" s="16">
        <f t="shared" si="5"/>
        <v>5.1823183391003821E-2</v>
      </c>
      <c r="M115" s="16">
        <f t="shared" si="6"/>
        <v>0.10104468610972919</v>
      </c>
    </row>
    <row r="116" spans="1:13" ht="15.5" x14ac:dyDescent="0.35">
      <c r="A116" s="7" t="s">
        <v>125</v>
      </c>
      <c r="B116" s="8">
        <v>73.28</v>
      </c>
      <c r="C116" s="8">
        <v>7.88</v>
      </c>
      <c r="E116" s="16">
        <v>75.746134453781551</v>
      </c>
      <c r="F116" s="16">
        <v>73.28</v>
      </c>
      <c r="G116" s="16">
        <f t="shared" si="11"/>
        <v>-2.4661344537815495</v>
      </c>
      <c r="H116" s="11"/>
      <c r="I116" s="16">
        <v>8.8323529411764703</v>
      </c>
      <c r="J116" s="16">
        <v>7.88</v>
      </c>
      <c r="K116" s="16">
        <f t="shared" si="12"/>
        <v>-0.9523529411764704</v>
      </c>
      <c r="L116" s="16">
        <f t="shared" si="5"/>
        <v>0.90697612456747367</v>
      </c>
      <c r="M116" s="16">
        <f t="shared" si="6"/>
        <v>2.348630400395487</v>
      </c>
    </row>
    <row r="117" spans="1:13" ht="15.5" x14ac:dyDescent="0.35">
      <c r="A117" s="7" t="s">
        <v>126</v>
      </c>
      <c r="B117" s="8">
        <v>81.53</v>
      </c>
      <c r="C117" s="8">
        <v>11.14</v>
      </c>
      <c r="E117" s="16">
        <v>75.746134453781551</v>
      </c>
      <c r="F117" s="16">
        <v>81.53</v>
      </c>
      <c r="G117" s="16">
        <f>F117-E117</f>
        <v>5.7838655462184505</v>
      </c>
      <c r="H117" s="11"/>
      <c r="I117" s="16">
        <v>8.8323529411764703</v>
      </c>
      <c r="J117" s="16">
        <v>11.14</v>
      </c>
      <c r="K117" s="16">
        <f t="shared" si="12"/>
        <v>2.3076470588235303</v>
      </c>
      <c r="L117" s="16">
        <f t="shared" si="5"/>
        <v>5.3252349480968899</v>
      </c>
      <c r="M117" s="16">
        <f t="shared" si="6"/>
        <v>13.347120316361758</v>
      </c>
    </row>
    <row r="118" spans="1:13" ht="15.5" x14ac:dyDescent="0.35">
      <c r="A118" s="7" t="s">
        <v>127</v>
      </c>
      <c r="B118" s="8">
        <v>78.83</v>
      </c>
      <c r="C118" s="8">
        <v>10.39</v>
      </c>
      <c r="E118" s="16">
        <v>75.746134453781551</v>
      </c>
      <c r="F118" s="16">
        <v>78.83</v>
      </c>
      <c r="G118" s="16">
        <f t="shared" ref="G118:G120" si="13">F118-E118</f>
        <v>3.0838655462184477</v>
      </c>
      <c r="H118" s="11"/>
      <c r="I118" s="16">
        <v>8.8323529411764703</v>
      </c>
      <c r="J118" s="16">
        <v>10.39</v>
      </c>
      <c r="K118" s="16">
        <f t="shared" si="12"/>
        <v>1.5576470588235303</v>
      </c>
      <c r="L118" s="16">
        <f t="shared" si="5"/>
        <v>2.4262643598615945</v>
      </c>
      <c r="M118" s="16">
        <f t="shared" si="6"/>
        <v>4.8035740978743844</v>
      </c>
    </row>
    <row r="119" spans="1:13" ht="15.5" x14ac:dyDescent="0.35">
      <c r="A119" s="7" t="s">
        <v>128</v>
      </c>
      <c r="B119" s="8">
        <v>76.900000000000006</v>
      </c>
      <c r="C119" s="8">
        <v>8.93</v>
      </c>
      <c r="E119" s="16">
        <v>75.746134453781551</v>
      </c>
      <c r="F119" s="16">
        <v>76.900000000000006</v>
      </c>
      <c r="G119" s="16">
        <f t="shared" si="13"/>
        <v>1.1538655462184551</v>
      </c>
      <c r="H119" s="11"/>
      <c r="I119" s="16">
        <v>8.8323529411764703</v>
      </c>
      <c r="J119" s="16">
        <v>8.93</v>
      </c>
      <c r="K119" s="16">
        <f t="shared" si="12"/>
        <v>9.764705882352942E-2</v>
      </c>
      <c r="L119" s="16">
        <f t="shared" si="5"/>
        <v>9.534948096885815E-3</v>
      </c>
      <c r="M119" s="16">
        <f t="shared" si="6"/>
        <v>0.11267157686603739</v>
      </c>
    </row>
    <row r="120" spans="1:13" ht="15.5" x14ac:dyDescent="0.35">
      <c r="A120" s="7" t="s">
        <v>129</v>
      </c>
      <c r="B120" s="9">
        <v>84.16</v>
      </c>
      <c r="C120" s="9">
        <v>11.86</v>
      </c>
      <c r="E120" s="16">
        <v>75.746134453781551</v>
      </c>
      <c r="F120" s="16">
        <v>84.16</v>
      </c>
      <c r="G120" s="16">
        <f t="shared" si="13"/>
        <v>8.413865546218446</v>
      </c>
      <c r="H120" s="11"/>
      <c r="I120" s="16">
        <v>8.8323529411764703</v>
      </c>
      <c r="J120" s="16">
        <v>11.86</v>
      </c>
      <c r="K120" s="16">
        <f t="shared" si="12"/>
        <v>3.0276470588235291</v>
      </c>
      <c r="L120" s="16">
        <f t="shared" si="5"/>
        <v>9.1666467128027662</v>
      </c>
      <c r="M120" s="16">
        <f t="shared" si="6"/>
        <v>25.474215274344903</v>
      </c>
    </row>
    <row r="121" spans="1:13" ht="15.5" x14ac:dyDescent="0.35">
      <c r="B121" s="10" t="s">
        <v>132</v>
      </c>
      <c r="C121" s="10" t="s">
        <v>133</v>
      </c>
      <c r="G121" s="10" t="s">
        <v>138</v>
      </c>
      <c r="H121" s="11"/>
      <c r="I121" s="11"/>
      <c r="J121" s="11"/>
      <c r="K121" s="17" t="s">
        <v>139</v>
      </c>
      <c r="L121" s="17" t="s">
        <v>140</v>
      </c>
      <c r="M121" s="17" t="s">
        <v>141</v>
      </c>
    </row>
    <row r="122" spans="1:13" ht="15.5" x14ac:dyDescent="0.35">
      <c r="B122" s="10">
        <f>AVERAGE(B2:B120)</f>
        <v>75.746134453781551</v>
      </c>
      <c r="C122" s="10">
        <f>AVERAGE(C2:C120)</f>
        <v>8.8323529411764667</v>
      </c>
      <c r="G122" s="10">
        <f>SUM(G2:G120)</f>
        <v>-4.5758952182950452E-12</v>
      </c>
      <c r="H122" s="11"/>
      <c r="I122" s="11"/>
      <c r="J122" s="11"/>
      <c r="K122" s="10">
        <f>SUM(K2:K120)</f>
        <v>1.0302869668521453E-13</v>
      </c>
      <c r="L122" s="10">
        <f>SUM(L2:L120)</f>
        <v>319.19214117647056</v>
      </c>
      <c r="M122" s="10">
        <f>SUM(M2:M120)</f>
        <v>917.66998235294045</v>
      </c>
    </row>
    <row r="125" spans="1:13" ht="15.5" x14ac:dyDescent="0.35">
      <c r="I125" s="18" t="s">
        <v>142</v>
      </c>
      <c r="J125" s="18">
        <f>M122/L122</f>
        <v>2.8749767427563064</v>
      </c>
    </row>
    <row r="126" spans="1:13" ht="15.5" x14ac:dyDescent="0.35">
      <c r="I126" s="18" t="s">
        <v>143</v>
      </c>
      <c r="J126" s="18">
        <f>B122-(J125*C122)</f>
        <v>50.353325164083948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2026-02-03T14:10:53Z</dcterms:created>
  <dcterms:modified xsi:type="dcterms:W3CDTF">2026-02-04T13:21:08Z</dcterms:modified>
</cp:coreProperties>
</file>